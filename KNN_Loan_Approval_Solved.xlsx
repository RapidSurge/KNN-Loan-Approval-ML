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 Anand\Downloads\"/>
    </mc:Choice>
  </mc:AlternateContent>
  <xr:revisionPtr revIDLastSave="0" documentId="13_ncr:1_{C6D444A3-77E7-4E3E-B9B2-A171F5CDCA17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Historical_Data" sheetId="1" r:id="rId1"/>
    <sheet name="New_Customer" sheetId="2" r:id="rId2"/>
    <sheet name="Summary" sheetId="3" r:id="rId3"/>
    <sheet name="Explan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1" i="1" l="1"/>
  <c r="L101" i="1"/>
  <c r="K101" i="1"/>
  <c r="J101" i="1"/>
  <c r="I101" i="1"/>
  <c r="N101" i="1" s="1"/>
  <c r="M100" i="1"/>
  <c r="L100" i="1"/>
  <c r="K100" i="1"/>
  <c r="J100" i="1"/>
  <c r="I100" i="1"/>
  <c r="N100" i="1" s="1"/>
  <c r="M99" i="1"/>
  <c r="L99" i="1"/>
  <c r="K99" i="1"/>
  <c r="J99" i="1"/>
  <c r="I99" i="1"/>
  <c r="N99" i="1" s="1"/>
  <c r="M98" i="1"/>
  <c r="L98" i="1"/>
  <c r="K98" i="1"/>
  <c r="N98" i="1" s="1"/>
  <c r="J98" i="1"/>
  <c r="I98" i="1"/>
  <c r="M97" i="1"/>
  <c r="L97" i="1"/>
  <c r="K97" i="1"/>
  <c r="J97" i="1"/>
  <c r="I97" i="1"/>
  <c r="N97" i="1" s="1"/>
  <c r="M96" i="1"/>
  <c r="L96" i="1"/>
  <c r="K96" i="1"/>
  <c r="J96" i="1"/>
  <c r="I96" i="1"/>
  <c r="N96" i="1" s="1"/>
  <c r="M95" i="1"/>
  <c r="N95" i="1" s="1"/>
  <c r="L95" i="1"/>
  <c r="K95" i="1"/>
  <c r="J95" i="1"/>
  <c r="I95" i="1"/>
  <c r="M94" i="1"/>
  <c r="L94" i="1"/>
  <c r="K94" i="1"/>
  <c r="J94" i="1"/>
  <c r="N94" i="1" s="1"/>
  <c r="I94" i="1"/>
  <c r="M93" i="1"/>
  <c r="L93" i="1"/>
  <c r="K93" i="1"/>
  <c r="J93" i="1"/>
  <c r="I93" i="1"/>
  <c r="N93" i="1" s="1"/>
  <c r="M92" i="1"/>
  <c r="L92" i="1"/>
  <c r="K92" i="1"/>
  <c r="J92" i="1"/>
  <c r="I92" i="1"/>
  <c r="N92" i="1" s="1"/>
  <c r="M91" i="1"/>
  <c r="L91" i="1"/>
  <c r="K91" i="1"/>
  <c r="J91" i="1"/>
  <c r="I91" i="1"/>
  <c r="N91" i="1" s="1"/>
  <c r="M90" i="1"/>
  <c r="L90" i="1"/>
  <c r="K90" i="1"/>
  <c r="N90" i="1" s="1"/>
  <c r="J90" i="1"/>
  <c r="I90" i="1"/>
  <c r="M89" i="1"/>
  <c r="L89" i="1"/>
  <c r="K89" i="1"/>
  <c r="J89" i="1"/>
  <c r="I89" i="1"/>
  <c r="N89" i="1" s="1"/>
  <c r="M88" i="1"/>
  <c r="L88" i="1"/>
  <c r="K88" i="1"/>
  <c r="J88" i="1"/>
  <c r="I88" i="1"/>
  <c r="N88" i="1" s="1"/>
  <c r="M87" i="1"/>
  <c r="N87" i="1" s="1"/>
  <c r="L87" i="1"/>
  <c r="K87" i="1"/>
  <c r="J87" i="1"/>
  <c r="I87" i="1"/>
  <c r="N86" i="1"/>
  <c r="M86" i="1"/>
  <c r="L86" i="1"/>
  <c r="K86" i="1"/>
  <c r="J86" i="1"/>
  <c r="I86" i="1"/>
  <c r="M85" i="1"/>
  <c r="L85" i="1"/>
  <c r="K85" i="1"/>
  <c r="J85" i="1"/>
  <c r="I85" i="1"/>
  <c r="N85" i="1" s="1"/>
  <c r="M84" i="1"/>
  <c r="L84" i="1"/>
  <c r="K84" i="1"/>
  <c r="J84" i="1"/>
  <c r="I84" i="1"/>
  <c r="N84" i="1" s="1"/>
  <c r="M83" i="1"/>
  <c r="L83" i="1"/>
  <c r="K83" i="1"/>
  <c r="J83" i="1"/>
  <c r="I83" i="1"/>
  <c r="N83" i="1" s="1"/>
  <c r="M82" i="1"/>
  <c r="L82" i="1"/>
  <c r="K82" i="1"/>
  <c r="N82" i="1" s="1"/>
  <c r="J82" i="1"/>
  <c r="I82" i="1"/>
  <c r="M81" i="1"/>
  <c r="L81" i="1"/>
  <c r="K81" i="1"/>
  <c r="J81" i="1"/>
  <c r="I81" i="1"/>
  <c r="N81" i="1" s="1"/>
  <c r="M80" i="1"/>
  <c r="L80" i="1"/>
  <c r="K80" i="1"/>
  <c r="J80" i="1"/>
  <c r="I80" i="1"/>
  <c r="N80" i="1" s="1"/>
  <c r="M79" i="1"/>
  <c r="N79" i="1" s="1"/>
  <c r="L79" i="1"/>
  <c r="K79" i="1"/>
  <c r="J79" i="1"/>
  <c r="I79" i="1"/>
  <c r="N78" i="1"/>
  <c r="M78" i="1"/>
  <c r="L78" i="1"/>
  <c r="K78" i="1"/>
  <c r="J78" i="1"/>
  <c r="I78" i="1"/>
  <c r="M77" i="1"/>
  <c r="L77" i="1"/>
  <c r="K77" i="1"/>
  <c r="J77" i="1"/>
  <c r="I77" i="1"/>
  <c r="N77" i="1" s="1"/>
  <c r="M76" i="1"/>
  <c r="L76" i="1"/>
  <c r="K76" i="1"/>
  <c r="J76" i="1"/>
  <c r="I76" i="1"/>
  <c r="N76" i="1" s="1"/>
  <c r="M75" i="1"/>
  <c r="L75" i="1"/>
  <c r="K75" i="1"/>
  <c r="J75" i="1"/>
  <c r="I75" i="1"/>
  <c r="N75" i="1" s="1"/>
  <c r="M74" i="1"/>
  <c r="L74" i="1"/>
  <c r="K74" i="1"/>
  <c r="N74" i="1" s="1"/>
  <c r="J74" i="1"/>
  <c r="I74" i="1"/>
  <c r="M73" i="1"/>
  <c r="L73" i="1"/>
  <c r="K73" i="1"/>
  <c r="J73" i="1"/>
  <c r="I73" i="1"/>
  <c r="N73" i="1" s="1"/>
  <c r="M72" i="1"/>
  <c r="L72" i="1"/>
  <c r="K72" i="1"/>
  <c r="J72" i="1"/>
  <c r="I72" i="1"/>
  <c r="N72" i="1" s="1"/>
  <c r="M71" i="1"/>
  <c r="N71" i="1" s="1"/>
  <c r="L71" i="1"/>
  <c r="K71" i="1"/>
  <c r="J71" i="1"/>
  <c r="I71" i="1"/>
  <c r="N70" i="1"/>
  <c r="M70" i="1"/>
  <c r="L70" i="1"/>
  <c r="K70" i="1"/>
  <c r="J70" i="1"/>
  <c r="I70" i="1"/>
  <c r="M69" i="1"/>
  <c r="L69" i="1"/>
  <c r="K69" i="1"/>
  <c r="J69" i="1"/>
  <c r="I69" i="1"/>
  <c r="N69" i="1" s="1"/>
  <c r="M68" i="1"/>
  <c r="L68" i="1"/>
  <c r="K68" i="1"/>
  <c r="J68" i="1"/>
  <c r="I68" i="1"/>
  <c r="N68" i="1" s="1"/>
  <c r="M67" i="1"/>
  <c r="L67" i="1"/>
  <c r="K67" i="1"/>
  <c r="J67" i="1"/>
  <c r="I67" i="1"/>
  <c r="N67" i="1" s="1"/>
  <c r="M66" i="1"/>
  <c r="L66" i="1"/>
  <c r="K66" i="1"/>
  <c r="N66" i="1" s="1"/>
  <c r="J66" i="1"/>
  <c r="I66" i="1"/>
  <c r="M65" i="1"/>
  <c r="L65" i="1"/>
  <c r="K65" i="1"/>
  <c r="J65" i="1"/>
  <c r="I65" i="1"/>
  <c r="N65" i="1" s="1"/>
  <c r="M64" i="1"/>
  <c r="L64" i="1"/>
  <c r="K64" i="1"/>
  <c r="J64" i="1"/>
  <c r="I64" i="1"/>
  <c r="N64" i="1" s="1"/>
  <c r="M63" i="1"/>
  <c r="N63" i="1" s="1"/>
  <c r="L63" i="1"/>
  <c r="K63" i="1"/>
  <c r="J63" i="1"/>
  <c r="I63" i="1"/>
  <c r="N62" i="1"/>
  <c r="M62" i="1"/>
  <c r="L62" i="1"/>
  <c r="K62" i="1"/>
  <c r="J62" i="1"/>
  <c r="I62" i="1"/>
  <c r="M61" i="1"/>
  <c r="L61" i="1"/>
  <c r="K61" i="1"/>
  <c r="J61" i="1"/>
  <c r="I61" i="1"/>
  <c r="N61" i="1" s="1"/>
  <c r="M60" i="1"/>
  <c r="L60" i="1"/>
  <c r="K60" i="1"/>
  <c r="J60" i="1"/>
  <c r="I60" i="1"/>
  <c r="N60" i="1" s="1"/>
  <c r="M59" i="1"/>
  <c r="L59" i="1"/>
  <c r="K59" i="1"/>
  <c r="J59" i="1"/>
  <c r="I59" i="1"/>
  <c r="N59" i="1" s="1"/>
  <c r="M58" i="1"/>
  <c r="L58" i="1"/>
  <c r="K58" i="1"/>
  <c r="N58" i="1" s="1"/>
  <c r="J58" i="1"/>
  <c r="I58" i="1"/>
  <c r="M57" i="1"/>
  <c r="L57" i="1"/>
  <c r="K57" i="1"/>
  <c r="J57" i="1"/>
  <c r="I57" i="1"/>
  <c r="N57" i="1" s="1"/>
  <c r="M56" i="1"/>
  <c r="L56" i="1"/>
  <c r="K56" i="1"/>
  <c r="J56" i="1"/>
  <c r="I56" i="1"/>
  <c r="N56" i="1" s="1"/>
  <c r="M55" i="1"/>
  <c r="N55" i="1" s="1"/>
  <c r="L55" i="1"/>
  <c r="K55" i="1"/>
  <c r="J55" i="1"/>
  <c r="I55" i="1"/>
  <c r="N54" i="1"/>
  <c r="M54" i="1"/>
  <c r="L54" i="1"/>
  <c r="K54" i="1"/>
  <c r="J54" i="1"/>
  <c r="I54" i="1"/>
  <c r="M53" i="1"/>
  <c r="L53" i="1"/>
  <c r="K53" i="1"/>
  <c r="J53" i="1"/>
  <c r="I53" i="1"/>
  <c r="N53" i="1" s="1"/>
  <c r="M52" i="1"/>
  <c r="L52" i="1"/>
  <c r="K52" i="1"/>
  <c r="J52" i="1"/>
  <c r="I52" i="1"/>
  <c r="N52" i="1" s="1"/>
  <c r="M51" i="1"/>
  <c r="L51" i="1"/>
  <c r="K51" i="1"/>
  <c r="J51" i="1"/>
  <c r="I51" i="1"/>
  <c r="N51" i="1" s="1"/>
  <c r="M50" i="1"/>
  <c r="L50" i="1"/>
  <c r="K50" i="1"/>
  <c r="N50" i="1" s="1"/>
  <c r="J50" i="1"/>
  <c r="I50" i="1"/>
  <c r="M49" i="1"/>
  <c r="L49" i="1"/>
  <c r="K49" i="1"/>
  <c r="J49" i="1"/>
  <c r="I49" i="1"/>
  <c r="N49" i="1" s="1"/>
  <c r="M48" i="1"/>
  <c r="L48" i="1"/>
  <c r="K48" i="1"/>
  <c r="J48" i="1"/>
  <c r="I48" i="1"/>
  <c r="N48" i="1" s="1"/>
  <c r="M47" i="1"/>
  <c r="N47" i="1" s="1"/>
  <c r="L47" i="1"/>
  <c r="K47" i="1"/>
  <c r="J47" i="1"/>
  <c r="I47" i="1"/>
  <c r="N46" i="1"/>
  <c r="M46" i="1"/>
  <c r="L46" i="1"/>
  <c r="K46" i="1"/>
  <c r="J46" i="1"/>
  <c r="I46" i="1"/>
  <c r="M45" i="1"/>
  <c r="L45" i="1"/>
  <c r="K45" i="1"/>
  <c r="J45" i="1"/>
  <c r="I45" i="1"/>
  <c r="N45" i="1" s="1"/>
  <c r="M44" i="1"/>
  <c r="L44" i="1"/>
  <c r="K44" i="1"/>
  <c r="J44" i="1"/>
  <c r="I44" i="1"/>
  <c r="N44" i="1" s="1"/>
  <c r="M43" i="1"/>
  <c r="L43" i="1"/>
  <c r="K43" i="1"/>
  <c r="J43" i="1"/>
  <c r="I43" i="1"/>
  <c r="N43" i="1" s="1"/>
  <c r="M42" i="1"/>
  <c r="L42" i="1"/>
  <c r="K42" i="1"/>
  <c r="N42" i="1" s="1"/>
  <c r="J42" i="1"/>
  <c r="I42" i="1"/>
  <c r="M41" i="1"/>
  <c r="L41" i="1"/>
  <c r="K41" i="1"/>
  <c r="J41" i="1"/>
  <c r="I41" i="1"/>
  <c r="N41" i="1" s="1"/>
  <c r="M40" i="1"/>
  <c r="L40" i="1"/>
  <c r="K40" i="1"/>
  <c r="J40" i="1"/>
  <c r="I40" i="1"/>
  <c r="N40" i="1" s="1"/>
  <c r="M39" i="1"/>
  <c r="N39" i="1" s="1"/>
  <c r="L39" i="1"/>
  <c r="K39" i="1"/>
  <c r="J39" i="1"/>
  <c r="I39" i="1"/>
  <c r="N38" i="1"/>
  <c r="M38" i="1"/>
  <c r="L38" i="1"/>
  <c r="K38" i="1"/>
  <c r="J38" i="1"/>
  <c r="I38" i="1"/>
  <c r="M37" i="1"/>
  <c r="L37" i="1"/>
  <c r="K37" i="1"/>
  <c r="J37" i="1"/>
  <c r="I37" i="1"/>
  <c r="N37" i="1" s="1"/>
  <c r="M36" i="1"/>
  <c r="L36" i="1"/>
  <c r="K36" i="1"/>
  <c r="J36" i="1"/>
  <c r="I36" i="1"/>
  <c r="N36" i="1" s="1"/>
  <c r="M35" i="1"/>
  <c r="L35" i="1"/>
  <c r="K35" i="1"/>
  <c r="J35" i="1"/>
  <c r="I35" i="1"/>
  <c r="N35" i="1" s="1"/>
  <c r="M34" i="1"/>
  <c r="L34" i="1"/>
  <c r="K34" i="1"/>
  <c r="N34" i="1" s="1"/>
  <c r="J34" i="1"/>
  <c r="I34" i="1"/>
  <c r="M33" i="1"/>
  <c r="L33" i="1"/>
  <c r="K33" i="1"/>
  <c r="J33" i="1"/>
  <c r="I33" i="1"/>
  <c r="N33" i="1" s="1"/>
  <c r="M32" i="1"/>
  <c r="L32" i="1"/>
  <c r="K32" i="1"/>
  <c r="J32" i="1"/>
  <c r="I32" i="1"/>
  <c r="N32" i="1" s="1"/>
  <c r="M31" i="1"/>
  <c r="N31" i="1" s="1"/>
  <c r="L31" i="1"/>
  <c r="K31" i="1"/>
  <c r="J31" i="1"/>
  <c r="I31" i="1"/>
  <c r="N30" i="1"/>
  <c r="M30" i="1"/>
  <c r="L30" i="1"/>
  <c r="K30" i="1"/>
  <c r="J30" i="1"/>
  <c r="I30" i="1"/>
  <c r="M29" i="1"/>
  <c r="L29" i="1"/>
  <c r="K29" i="1"/>
  <c r="J29" i="1"/>
  <c r="I29" i="1"/>
  <c r="N29" i="1" s="1"/>
  <c r="M28" i="1"/>
  <c r="L28" i="1"/>
  <c r="K28" i="1"/>
  <c r="J28" i="1"/>
  <c r="I28" i="1"/>
  <c r="N28" i="1" s="1"/>
  <c r="M27" i="1"/>
  <c r="L27" i="1"/>
  <c r="K27" i="1"/>
  <c r="J27" i="1"/>
  <c r="I27" i="1"/>
  <c r="N27" i="1" s="1"/>
  <c r="M26" i="1"/>
  <c r="L26" i="1"/>
  <c r="K26" i="1"/>
  <c r="N26" i="1" s="1"/>
  <c r="J26" i="1"/>
  <c r="I26" i="1"/>
  <c r="M25" i="1"/>
  <c r="L25" i="1"/>
  <c r="K25" i="1"/>
  <c r="J25" i="1"/>
  <c r="I25" i="1"/>
  <c r="N25" i="1" s="1"/>
  <c r="M24" i="1"/>
  <c r="L24" i="1"/>
  <c r="K24" i="1"/>
  <c r="J24" i="1"/>
  <c r="I24" i="1"/>
  <c r="N24" i="1" s="1"/>
  <c r="M23" i="1"/>
  <c r="N23" i="1" s="1"/>
  <c r="L23" i="1"/>
  <c r="K23" i="1"/>
  <c r="J23" i="1"/>
  <c r="I23" i="1"/>
  <c r="N22" i="1"/>
  <c r="M22" i="1"/>
  <c r="L22" i="1"/>
  <c r="K22" i="1"/>
  <c r="J22" i="1"/>
  <c r="I22" i="1"/>
  <c r="M21" i="1"/>
  <c r="L21" i="1"/>
  <c r="K21" i="1"/>
  <c r="J21" i="1"/>
  <c r="I21" i="1"/>
  <c r="N21" i="1" s="1"/>
  <c r="M20" i="1"/>
  <c r="L20" i="1"/>
  <c r="K20" i="1"/>
  <c r="J20" i="1"/>
  <c r="I20" i="1"/>
  <c r="N20" i="1" s="1"/>
  <c r="M19" i="1"/>
  <c r="L19" i="1"/>
  <c r="K19" i="1"/>
  <c r="J19" i="1"/>
  <c r="I19" i="1"/>
  <c r="N19" i="1" s="1"/>
  <c r="M18" i="1"/>
  <c r="L18" i="1"/>
  <c r="K18" i="1"/>
  <c r="N18" i="1" s="1"/>
  <c r="J18" i="1"/>
  <c r="I18" i="1"/>
  <c r="M17" i="1"/>
  <c r="L17" i="1"/>
  <c r="K17" i="1"/>
  <c r="J17" i="1"/>
  <c r="I17" i="1"/>
  <c r="N17" i="1" s="1"/>
  <c r="M16" i="1"/>
  <c r="L16" i="1"/>
  <c r="K16" i="1"/>
  <c r="J16" i="1"/>
  <c r="I16" i="1"/>
  <c r="N16" i="1" s="1"/>
  <c r="M15" i="1"/>
  <c r="N15" i="1" s="1"/>
  <c r="L15" i="1"/>
  <c r="K15" i="1"/>
  <c r="J15" i="1"/>
  <c r="I15" i="1"/>
  <c r="N14" i="1"/>
  <c r="M14" i="1"/>
  <c r="L14" i="1"/>
  <c r="K14" i="1"/>
  <c r="J14" i="1"/>
  <c r="I14" i="1"/>
  <c r="M13" i="1"/>
  <c r="L13" i="1"/>
  <c r="K13" i="1"/>
  <c r="J13" i="1"/>
  <c r="I13" i="1"/>
  <c r="N13" i="1" s="1"/>
  <c r="M12" i="1"/>
  <c r="L12" i="1"/>
  <c r="K12" i="1"/>
  <c r="J12" i="1"/>
  <c r="I12" i="1"/>
  <c r="N12" i="1" s="1"/>
  <c r="M11" i="1"/>
  <c r="L11" i="1"/>
  <c r="K11" i="1"/>
  <c r="J11" i="1"/>
  <c r="I11" i="1"/>
  <c r="N11" i="1" s="1"/>
  <c r="M10" i="1"/>
  <c r="L10" i="1"/>
  <c r="K10" i="1"/>
  <c r="N10" i="1" s="1"/>
  <c r="J10" i="1"/>
  <c r="I10" i="1"/>
  <c r="M9" i="1"/>
  <c r="L9" i="1"/>
  <c r="K9" i="1"/>
  <c r="J9" i="1"/>
  <c r="I9" i="1"/>
  <c r="N9" i="1" s="1"/>
  <c r="M8" i="1"/>
  <c r="L8" i="1"/>
  <c r="K8" i="1"/>
  <c r="J8" i="1"/>
  <c r="I8" i="1"/>
  <c r="N8" i="1" s="1"/>
  <c r="M7" i="1"/>
  <c r="N7" i="1" s="1"/>
  <c r="L7" i="1"/>
  <c r="K7" i="1"/>
  <c r="J7" i="1"/>
  <c r="I7" i="1"/>
  <c r="N6" i="1"/>
  <c r="M6" i="1"/>
  <c r="L6" i="1"/>
  <c r="K6" i="1"/>
  <c r="J6" i="1"/>
  <c r="I6" i="1"/>
  <c r="M5" i="1"/>
  <c r="L5" i="1"/>
  <c r="K5" i="1"/>
  <c r="J5" i="1"/>
  <c r="I5" i="1"/>
  <c r="N5" i="1" s="1"/>
  <c r="M4" i="1"/>
  <c r="L4" i="1"/>
  <c r="K4" i="1"/>
  <c r="J4" i="1"/>
  <c r="I4" i="1"/>
  <c r="N4" i="1" s="1"/>
  <c r="M3" i="1"/>
  <c r="L3" i="1"/>
  <c r="K3" i="1"/>
  <c r="J3" i="1"/>
  <c r="I3" i="1"/>
  <c r="N3" i="1" s="1"/>
  <c r="M2" i="1"/>
  <c r="L2" i="1"/>
  <c r="K2" i="1"/>
  <c r="N2" i="1" s="1"/>
  <c r="J2" i="1"/>
  <c r="I2" i="1"/>
</calcChain>
</file>

<file path=xl/sharedStrings.xml><?xml version="1.0" encoding="utf-8"?>
<sst xmlns="http://schemas.openxmlformats.org/spreadsheetml/2006/main" count="379" uniqueCount="152">
  <si>
    <t>Customer_ID</t>
  </si>
  <si>
    <t>Age</t>
  </si>
  <si>
    <t>Gender</t>
  </si>
  <si>
    <t>Monthly_Income</t>
  </si>
  <si>
    <t>Credit_Score</t>
  </si>
  <si>
    <t>Employment_Years</t>
  </si>
  <si>
    <t>Existing_Loans</t>
  </si>
  <si>
    <t>Loan_Approved</t>
  </si>
  <si>
    <t>Age_Scaled</t>
  </si>
  <si>
    <t>Monthly_Income_Scaled</t>
  </si>
  <si>
    <t>Credit_Score_Scaled</t>
  </si>
  <si>
    <t>Employment_Years_Scaled</t>
  </si>
  <si>
    <t>Existing_Loans_Scaled</t>
  </si>
  <si>
    <t>Distance_to_NEW001</t>
  </si>
  <si>
    <t>C001</t>
  </si>
  <si>
    <t>Male</t>
  </si>
  <si>
    <t>Yes</t>
  </si>
  <si>
    <t>C002</t>
  </si>
  <si>
    <t>Female</t>
  </si>
  <si>
    <t>C003</t>
  </si>
  <si>
    <t>C004</t>
  </si>
  <si>
    <t>C005</t>
  </si>
  <si>
    <t>C006</t>
  </si>
  <si>
    <t>No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</si>
  <si>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</si>
  <si>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</si>
  <si>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</si>
  <si>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</si>
  <si>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</si>
  <si>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</si>
  <si>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</si>
  <si>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</si>
  <si>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</si>
  <si>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</si>
  <si>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</si>
  <si>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</si>
  <si>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</si>
  <si>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</si>
  <si>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</si>
  <si>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</si>
  <si>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</si>
  <si>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</si>
  <si>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</si>
  <si>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</si>
  <si>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</si>
  <si>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</si>
  <si>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</si>
  <si>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</si>
  <si>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</si>
  <si>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</si>
  <si>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</si>
  <si>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</si>
  <si>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</si>
  <si>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</si>
  <si>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</si>
  <si>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</si>
  <si>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</si>
  <si>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</si>
  <si>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</si>
  <si>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</si>
  <si>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</si>
  <si>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</si>
  <si>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</si>
  <si>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</si>
  <si>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</si>
  <si>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</si>
  <si>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</si>
  <si>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</si>
  <si>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</si>
  <si>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</si>
  <si>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</si>
  <si>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</si>
  <si>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</si>
  <si>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</si>
  <si>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</si>
  <si>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</si>
  <si>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</si>
  <si>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</si>
  <si>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</si>
  <si>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</si>
  <si>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</si>
  <si>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</si>
  <si>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</si>
  <si>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</si>
  <si>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</si>
  <si>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</si>
  <si>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</si>
  <si>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</si>
  <si>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</si>
  <si>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</si>
  <si>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</si>
  <si>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</si>
  <si>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</si>
  <si>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</si>
  <si>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</si>
  <si>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</si>
  <si>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</si>
  <si>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</si>
  <si>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</si>
  <si>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</si>
  <si>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</si>
  <si>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</si>
  <si>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</si>
  <si>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</si>
  <si>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</si>
  <si>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</si>
  <si>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</si>
  <si>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</si>
  <si>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</si>
  <si>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</si>
  <si>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</si>
  <si>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</si>
  <si>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</si>
  <si>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</si>
  <si>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</si>
  <si>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</si>
  <si>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</si>
  <si>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</si>
  <si>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NEW001</t>
  </si>
  <si>
    <t>KNN LOAN APPROVAL — SOLVED</t>
  </si>
  <si>
    <t>Model</t>
  </si>
  <si>
    <t>K-Nearest Neighbors (KNN)</t>
  </si>
  <si>
    <t>K</t>
  </si>
  <si>
    <t>New customer</t>
  </si>
  <si>
    <t>Final prediction</t>
  </si>
  <si>
    <t>Yes votes among 5 nearest</t>
  </si>
  <si>
    <t>No votes among 5 nearest</t>
  </si>
  <si>
    <t>Decision rule</t>
  </si>
  <si>
    <t>Majority vote</t>
  </si>
  <si>
    <t>Feature</t>
  </si>
  <si>
    <t>Minimum</t>
  </si>
  <si>
    <t>Maximum</t>
  </si>
  <si>
    <t>5 NEAREST NEIGHBOURS</t>
  </si>
  <si>
    <t>Rank</t>
  </si>
  <si>
    <t>Distance</t>
  </si>
  <si>
    <t>Excel calculation support</t>
  </si>
  <si>
    <t>New customer scaled</t>
  </si>
  <si>
    <t>Scaled value</t>
  </si>
  <si>
    <t>1. What is KNN?</t>
  </si>
  <si>
    <t>KNN predicts a new customer's class by looking at the K most similar historical customers.</t>
  </si>
  <si>
    <t>2. Why scaling?</t>
  </si>
  <si>
    <t>Income is measured in tens of thousands while age is measured in years. Without scaling, income would dominate the distance calculation.</t>
  </si>
  <si>
    <t>3. Distance formula</t>
  </si>
  <si>
    <t>Euclidean distance = SQRT((x1-y1)^2 + (x2-y2)^2 + ...).</t>
  </si>
  <si>
    <t>4. Why K = 5?</t>
  </si>
  <si>
    <t>For this classroom exercise, K=5 is used. An odd K reduces the chance of a tie in binary classification.</t>
  </si>
  <si>
    <t>5. Prediction</t>
  </si>
  <si>
    <t>The 5 nearest customers contain 5 Yes votes and 0 No votes, so the model predicts Yes.</t>
  </si>
  <si>
    <t>6. Business interpretation</t>
  </si>
  <si>
    <t>The model does not prove that a customer will repay a loan. It classifies the customer based on similarity to historical cases.</t>
  </si>
  <si>
    <t>7. Limitation</t>
  </si>
  <si>
    <t>Real lending decisions require much more robust validation, fairness checks, regulatory controls and financially meaningful outcome labels.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</si>
</sst>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showGridLines="0" topLeftCell="F1" workbookViewId="0">
      <pane ySplit="1" topLeftCell="A74" activePane="bottomLeft" state="frozen"/>
      <selection pane="bottomLeft"/>
    </sheetView>
  </sheetViews>
  <sheetFormatPr defaultRowHeight="14.5" x14ac:dyDescent="0.35"/>
  <cols>
    <col min="1" max="14" width="24" customWidth="1"/>
  </cols>
  <sheetData>
    <row r="1" spans="1:14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>
        <v>24</v>
      </c>
      <c r="C2" s="2" t="s">
        <v>15</v>
      </c>
      <c r="D2" s="2">
        <v>152904</v>
      </c>
      <c r="E2" s="2">
        <v>641</v>
      </c>
      <c r="F2" s="2">
        <v>20</v>
      </c>
      <c r="G2" s="2">
        <v>0</v>
      </c>
      <c r="H2" s="2" t="s">
        <v>16</v>
      </c>
      <c r="I2" s="2">
        <f>(B2-Summary!B$105)/(Summary!B$106-Summary!B$105)</f>
        <v>5.2631578947368418E-2</v>
      </c>
      <c r="J2" s="2">
        <f>(D2-Summary!C$105)/(Summary!C$106-Summary!C$105)</f>
        <v>0.83477131690993767</v>
      </c>
      <c r="K2" s="2">
        <f>(E2-Summary!D$105)/(Summary!D$106-Summary!D$105)</f>
        <v>0.35825545171339562</v>
      </c>
      <c r="L2" s="2">
        <f>(F2-Summary!E$105)/(Summary!E$106-Summary!E$105)</f>
        <v>1</v>
      </c>
      <c r="M2" s="2">
        <f>(G2-Summary!F$105)/(Summary!F$106-Summary!F$105)</f>
        <v>0</v>
      </c>
      <c r="N2" s="2">
        <f>SQRT((I2-Summary!B$109)^2+(J2-Summary!C$109)^2+(K2-Summary!D$109)^2+(L2-Summary!E$109)^2+(M2-Summary!F$109)^2)</f>
        <v>0.95575984052833263</v>
      </c>
    </row>
    <row r="3" spans="1:14" x14ac:dyDescent="0.35">
      <c r="A3" s="2" t="s">
        <v>17</v>
      </c>
      <c r="B3" s="2">
        <v>51</v>
      </c>
      <c r="C3" s="2" t="s">
        <v>18</v>
      </c>
      <c r="D3" s="2">
        <v>50385</v>
      </c>
      <c r="E3" s="2">
        <v>820</v>
      </c>
      <c r="F3" s="2">
        <v>16</v>
      </c>
      <c r="G3" s="2">
        <v>2</v>
      </c>
      <c r="H3" s="2" t="s">
        <v>16</v>
      </c>
      <c r="I3" s="2">
        <f>(B3-Summary!B$105)/(Summary!B$106-Summary!B$105)</f>
        <v>0.76315789473684215</v>
      </c>
      <c r="J3" s="2">
        <f>(D3-Summary!C$105)/(Summary!C$106-Summary!C$105)</f>
        <v>0.19473960219256078</v>
      </c>
      <c r="K3" s="2">
        <f>(E3-Summary!D$105)/(Summary!D$106-Summary!D$105)</f>
        <v>0.91588785046728971</v>
      </c>
      <c r="L3" s="2">
        <f>(F3-Summary!E$105)/(Summary!E$106-Summary!E$105)</f>
        <v>0.8</v>
      </c>
      <c r="M3" s="2">
        <f>(G3-Summary!F$105)/(Summary!F$106-Summary!F$105)</f>
        <v>0.66666666666666663</v>
      </c>
      <c r="N3" s="2">
        <f>SQRT((I3-Summary!B$109)^2+(J3-Summary!C$109)^2+(K3-Summary!D$109)^2+(L3-Summary!E$109)^2+(M3-Summary!F$109)^2)</f>
        <v>0.80390975564938005</v>
      </c>
    </row>
    <row r="4" spans="1:14" x14ac:dyDescent="0.35">
      <c r="A4" s="2" t="s">
        <v>19</v>
      </c>
      <c r="B4" s="2">
        <v>47</v>
      </c>
      <c r="C4" s="2" t="s">
        <v>15</v>
      </c>
      <c r="D4" s="2">
        <v>148394</v>
      </c>
      <c r="E4" s="2">
        <v>683</v>
      </c>
      <c r="F4" s="2">
        <v>6</v>
      </c>
      <c r="G4" s="2">
        <v>3</v>
      </c>
      <c r="H4" s="2" t="s">
        <v>16</v>
      </c>
      <c r="I4" s="2">
        <f>(B4-Summary!B$105)/(Summary!B$106-Summary!B$105)</f>
        <v>0.65789473684210531</v>
      </c>
      <c r="J4" s="2">
        <f>(D4-Summary!C$105)/(Summary!C$106-Summary!C$105)</f>
        <v>0.80661514065602014</v>
      </c>
      <c r="K4" s="2">
        <f>(E4-Summary!D$105)/(Summary!D$106-Summary!D$105)</f>
        <v>0.48909657320872274</v>
      </c>
      <c r="L4" s="2">
        <f>(F4-Summary!E$105)/(Summary!E$106-Summary!E$105)</f>
        <v>0.3</v>
      </c>
      <c r="M4" s="2">
        <f>(G4-Summary!F$105)/(Summary!F$106-Summary!F$105)</f>
        <v>1</v>
      </c>
      <c r="N4" s="2">
        <f>SQRT((I4-Summary!B$109)^2+(J4-Summary!C$109)^2+(K4-Summary!D$109)^2+(L4-Summary!E$109)^2+(M4-Summary!F$109)^2)</f>
        <v>0.92005111140080365</v>
      </c>
    </row>
    <row r="5" spans="1:14" x14ac:dyDescent="0.35">
      <c r="A5" s="2" t="s">
        <v>20</v>
      </c>
      <c r="B5" s="2">
        <v>38</v>
      </c>
      <c r="C5" s="2" t="s">
        <v>18</v>
      </c>
      <c r="D5" s="2">
        <v>19192</v>
      </c>
      <c r="E5" s="2">
        <v>751</v>
      </c>
      <c r="F5" s="2">
        <v>20</v>
      </c>
      <c r="G5" s="2">
        <v>3</v>
      </c>
      <c r="H5" s="2" t="s">
        <v>16</v>
      </c>
      <c r="I5" s="2">
        <f>(B5-Summary!B$105)/(Summary!B$106-Summary!B$105)</f>
        <v>0.42105263157894735</v>
      </c>
      <c r="J5" s="2">
        <f>(D5-Summary!C$105)/(Summary!C$106-Summary!C$105)</f>
        <v>0</v>
      </c>
      <c r="K5" s="2">
        <f>(E5-Summary!D$105)/(Summary!D$106-Summary!D$105)</f>
        <v>0.7009345794392523</v>
      </c>
      <c r="L5" s="2">
        <f>(F5-Summary!E$105)/(Summary!E$106-Summary!E$105)</f>
        <v>1</v>
      </c>
      <c r="M5" s="2">
        <f>(G5-Summary!F$105)/(Summary!F$106-Summary!F$105)</f>
        <v>1</v>
      </c>
      <c r="N5" s="2">
        <f>SQRT((I5-Summary!B$109)^2+(J5-Summary!C$109)^2+(K5-Summary!D$109)^2+(L5-Summary!E$109)^2+(M5-Summary!F$109)^2)</f>
        <v>1.007001728684874</v>
      </c>
    </row>
    <row r="6" spans="1:14" x14ac:dyDescent="0.35">
      <c r="A6" s="2" t="s">
        <v>21</v>
      </c>
      <c r="B6" s="2">
        <v>38</v>
      </c>
      <c r="C6" s="2" t="s">
        <v>18</v>
      </c>
      <c r="D6" s="2">
        <v>147089</v>
      </c>
      <c r="E6" s="2">
        <v>671</v>
      </c>
      <c r="F6" s="2">
        <v>10</v>
      </c>
      <c r="G6" s="2">
        <v>1</v>
      </c>
      <c r="H6" s="2" t="s">
        <v>16</v>
      </c>
      <c r="I6" s="2">
        <f>(B6-Summary!B$105)/(Summary!B$106-Summary!B$105)</f>
        <v>0.42105263157894735</v>
      </c>
      <c r="J6" s="2">
        <f>(D6-Summary!C$105)/(Summary!C$106-Summary!C$105)</f>
        <v>0.79846795440072915</v>
      </c>
      <c r="K6" s="2">
        <f>(E6-Summary!D$105)/(Summary!D$106-Summary!D$105)</f>
        <v>0.45171339563862928</v>
      </c>
      <c r="L6" s="2">
        <f>(F6-Summary!E$105)/(Summary!E$106-Summary!E$105)</f>
        <v>0.5</v>
      </c>
      <c r="M6" s="2">
        <f>(G6-Summary!F$105)/(Summary!F$106-Summary!F$105)</f>
        <v>0.33333333333333331</v>
      </c>
      <c r="N6" s="2">
        <f>SQRT((I6-Summary!B$109)^2+(J6-Summary!C$109)^2+(K6-Summary!D$109)^2+(L6-Summary!E$109)^2+(M6-Summary!F$109)^2)</f>
        <v>0.54672024979428357</v>
      </c>
    </row>
    <row r="7" spans="1:14" x14ac:dyDescent="0.35">
      <c r="A7" s="2" t="s">
        <v>22</v>
      </c>
      <c r="B7" s="2">
        <v>55</v>
      </c>
      <c r="C7" s="2" t="s">
        <v>15</v>
      </c>
      <c r="D7" s="2">
        <v>145482</v>
      </c>
      <c r="E7" s="2">
        <v>608</v>
      </c>
      <c r="F7" s="2">
        <v>10</v>
      </c>
      <c r="G7" s="2">
        <v>1</v>
      </c>
      <c r="H7" s="2" t="s">
        <v>23</v>
      </c>
      <c r="I7" s="2">
        <f>(B7-Summary!B$105)/(Summary!B$106-Summary!B$105)</f>
        <v>0.86842105263157898</v>
      </c>
      <c r="J7" s="2">
        <f>(D7-Summary!C$105)/(Summary!C$106-Summary!C$105)</f>
        <v>0.78843536565570804</v>
      </c>
      <c r="K7" s="2">
        <f>(E7-Summary!D$105)/(Summary!D$106-Summary!D$105)</f>
        <v>0.2554517133956386</v>
      </c>
      <c r="L7" s="2">
        <f>(F7-Summary!E$105)/(Summary!E$106-Summary!E$105)</f>
        <v>0.5</v>
      </c>
      <c r="M7" s="2">
        <f>(G7-Summary!F$105)/(Summary!F$106-Summary!F$105)</f>
        <v>0.33333333333333331</v>
      </c>
      <c r="N7" s="2">
        <f>SQRT((I7-Summary!B$109)^2+(J7-Summary!C$109)^2+(K7-Summary!D$109)^2+(L7-Summary!E$109)^2+(M7-Summary!F$109)^2)</f>
        <v>0.86989909731291293</v>
      </c>
    </row>
    <row r="8" spans="1:14" x14ac:dyDescent="0.35">
      <c r="A8" s="2" t="s">
        <v>24</v>
      </c>
      <c r="B8" s="2">
        <v>24</v>
      </c>
      <c r="C8" s="2" t="s">
        <v>15</v>
      </c>
      <c r="D8" s="2">
        <v>144419</v>
      </c>
      <c r="E8" s="2">
        <v>772</v>
      </c>
      <c r="F8" s="2">
        <v>9</v>
      </c>
      <c r="G8" s="2">
        <v>2</v>
      </c>
      <c r="H8" s="2" t="s">
        <v>16</v>
      </c>
      <c r="I8" s="2">
        <f>(B8-Summary!B$105)/(Summary!B$106-Summary!B$105)</f>
        <v>5.2631578947368418E-2</v>
      </c>
      <c r="J8" s="2">
        <f>(D8-Summary!C$105)/(Summary!C$106-Summary!C$105)</f>
        <v>0.7817989986140419</v>
      </c>
      <c r="K8" s="2">
        <f>(E8-Summary!D$105)/(Summary!D$106-Summary!D$105)</f>
        <v>0.76635514018691586</v>
      </c>
      <c r="L8" s="2">
        <f>(F8-Summary!E$105)/(Summary!E$106-Summary!E$105)</f>
        <v>0.45</v>
      </c>
      <c r="M8" s="2">
        <f>(G8-Summary!F$105)/(Summary!F$106-Summary!F$105)</f>
        <v>0.66666666666666663</v>
      </c>
      <c r="N8" s="2">
        <f>SQRT((I8-Summary!B$109)^2+(J8-Summary!C$109)^2+(K8-Summary!D$109)^2+(L8-Summary!E$109)^2+(M8-Summary!F$109)^2)</f>
        <v>0.60165669572172131</v>
      </c>
    </row>
    <row r="9" spans="1:14" x14ac:dyDescent="0.35">
      <c r="A9" s="2" t="s">
        <v>25</v>
      </c>
      <c r="B9" s="2">
        <v>48</v>
      </c>
      <c r="C9" s="2" t="s">
        <v>18</v>
      </c>
      <c r="D9" s="2">
        <v>125706</v>
      </c>
      <c r="E9" s="2">
        <v>840</v>
      </c>
      <c r="F9" s="2">
        <v>3</v>
      </c>
      <c r="G9" s="2">
        <v>0</v>
      </c>
      <c r="H9" s="2" t="s">
        <v>16</v>
      </c>
      <c r="I9" s="2">
        <f>(B9-Summary!B$105)/(Summary!B$106-Summary!B$105)</f>
        <v>0.68421052631578949</v>
      </c>
      <c r="J9" s="2">
        <f>(D9-Summary!C$105)/(Summary!C$106-Summary!C$105)</f>
        <v>0.66497271785139034</v>
      </c>
      <c r="K9" s="2">
        <f>(E9-Summary!D$105)/(Summary!D$106-Summary!D$105)</f>
        <v>0.97819314641744548</v>
      </c>
      <c r="L9" s="2">
        <f>(F9-Summary!E$105)/(Summary!E$106-Summary!E$105)</f>
        <v>0.15</v>
      </c>
      <c r="M9" s="2">
        <f>(G9-Summary!F$105)/(Summary!F$106-Summary!F$105)</f>
        <v>0</v>
      </c>
      <c r="N9" s="2">
        <f>SQRT((I9-Summary!B$109)^2+(J9-Summary!C$109)^2+(K9-Summary!D$109)^2+(L9-Summary!E$109)^2+(M9-Summary!F$109)^2)</f>
        <v>0.7223658956875384</v>
      </c>
    </row>
    <row r="10" spans="1:14" x14ac:dyDescent="0.35">
      <c r="A10" s="2" t="s">
        <v>26</v>
      </c>
      <c r="B10" s="2">
        <v>29</v>
      </c>
      <c r="C10" s="2" t="s">
        <v>15</v>
      </c>
      <c r="D10" s="2">
        <v>94394</v>
      </c>
      <c r="E10" s="2">
        <v>607</v>
      </c>
      <c r="F10" s="2">
        <v>19</v>
      </c>
      <c r="G10" s="2">
        <v>1</v>
      </c>
      <c r="H10" s="2" t="s">
        <v>16</v>
      </c>
      <c r="I10" s="2">
        <f>(B10-Summary!B$105)/(Summary!B$106-Summary!B$105)</f>
        <v>0.18421052631578946</v>
      </c>
      <c r="J10" s="2">
        <f>(D10-Summary!C$105)/(Summary!C$106-Summary!C$105)</f>
        <v>0.46949019216122062</v>
      </c>
      <c r="K10" s="2">
        <f>(E10-Summary!D$105)/(Summary!D$106-Summary!D$105)</f>
        <v>0.25233644859813081</v>
      </c>
      <c r="L10" s="2">
        <f>(F10-Summary!E$105)/(Summary!E$106-Summary!E$105)</f>
        <v>0.95</v>
      </c>
      <c r="M10" s="2">
        <f>(G10-Summary!F$105)/(Summary!F$106-Summary!F$105)</f>
        <v>0.33333333333333331</v>
      </c>
      <c r="N10" s="2">
        <f>SQRT((I10-Summary!B$109)^2+(J10-Summary!C$109)^2+(K10-Summary!D$109)^2+(L10-Summary!E$109)^2+(M10-Summary!F$109)^2)</f>
        <v>0.74683590121121135</v>
      </c>
    </row>
    <row r="11" spans="1:14" x14ac:dyDescent="0.35">
      <c r="A11" s="2" t="s">
        <v>27</v>
      </c>
      <c r="B11" s="2">
        <v>24</v>
      </c>
      <c r="C11" s="2" t="s">
        <v>15</v>
      </c>
      <c r="D11" s="2">
        <v>132237</v>
      </c>
      <c r="E11" s="2">
        <v>777</v>
      </c>
      <c r="F11" s="2">
        <v>0</v>
      </c>
      <c r="G11" s="2">
        <v>0</v>
      </c>
      <c r="H11" s="2" t="s">
        <v>16</v>
      </c>
      <c r="I11" s="2">
        <f>(B11-Summary!B$105)/(Summary!B$106-Summary!B$105)</f>
        <v>5.2631578947368418E-2</v>
      </c>
      <c r="J11" s="2">
        <f>(D11-Summary!C$105)/(Summary!C$106-Summary!C$105)</f>
        <v>0.70574610745545585</v>
      </c>
      <c r="K11" s="2">
        <f>(E11-Summary!D$105)/(Summary!D$106-Summary!D$105)</f>
        <v>0.7819314641744548</v>
      </c>
      <c r="L11" s="2">
        <f>(F11-Summary!E$105)/(Summary!E$106-Summary!E$105)</f>
        <v>0</v>
      </c>
      <c r="M11" s="2">
        <f>(G11-Summary!F$105)/(Summary!F$106-Summary!F$105)</f>
        <v>0</v>
      </c>
      <c r="N11" s="2">
        <f>SQRT((I11-Summary!B$109)^2+(J11-Summary!C$109)^2+(K11-Summary!D$109)^2+(L11-Summary!E$109)^2+(M11-Summary!F$109)^2)</f>
        <v>0.64614881961716142</v>
      </c>
    </row>
    <row r="12" spans="1:14" x14ac:dyDescent="0.35">
      <c r="A12" s="2" t="s">
        <v>28</v>
      </c>
      <c r="B12" s="2">
        <v>42</v>
      </c>
      <c r="C12" s="2" t="s">
        <v>18</v>
      </c>
      <c r="D12" s="2">
        <v>62893</v>
      </c>
      <c r="E12" s="2">
        <v>606</v>
      </c>
      <c r="F12" s="2">
        <v>3</v>
      </c>
      <c r="G12" s="2">
        <v>3</v>
      </c>
      <c r="H12" s="2" t="s">
        <v>23</v>
      </c>
      <c r="I12" s="2">
        <f>(B12-Summary!B$105)/(Summary!B$106-Summary!B$105)</f>
        <v>0.52631578947368418</v>
      </c>
      <c r="J12" s="2">
        <f>(D12-Summary!C$105)/(Summary!C$106-Summary!C$105)</f>
        <v>0.27282772915131914</v>
      </c>
      <c r="K12" s="2">
        <f>(E12-Summary!D$105)/(Summary!D$106-Summary!D$105)</f>
        <v>0.24922118380062305</v>
      </c>
      <c r="L12" s="2">
        <f>(F12-Summary!E$105)/(Summary!E$106-Summary!E$105)</f>
        <v>0.15</v>
      </c>
      <c r="M12" s="2">
        <f>(G12-Summary!F$105)/(Summary!F$106-Summary!F$105)</f>
        <v>1</v>
      </c>
      <c r="N12" s="2">
        <f>SQRT((I12-Summary!B$109)^2+(J12-Summary!C$109)^2+(K12-Summary!D$109)^2+(L12-Summary!E$109)^2+(M12-Summary!F$109)^2)</f>
        <v>0.8595992826200598</v>
      </c>
    </row>
    <row r="13" spans="1:14" x14ac:dyDescent="0.35">
      <c r="A13" s="2" t="s">
        <v>29</v>
      </c>
      <c r="B13" s="2">
        <v>60</v>
      </c>
      <c r="C13" s="2" t="s">
        <v>18</v>
      </c>
      <c r="D13" s="2">
        <v>144478</v>
      </c>
      <c r="E13" s="2">
        <v>757</v>
      </c>
      <c r="F13" s="2">
        <v>4</v>
      </c>
      <c r="G13" s="2">
        <v>2</v>
      </c>
      <c r="H13" s="2" t="s">
        <v>16</v>
      </c>
      <c r="I13" s="2">
        <f>(B13-Summary!B$105)/(Summary!B$106-Summary!B$105)</f>
        <v>1</v>
      </c>
      <c r="J13" s="2">
        <f>(D13-Summary!C$105)/(Summary!C$106-Summary!C$105)</f>
        <v>0.78216733883554546</v>
      </c>
      <c r="K13" s="2">
        <f>(E13-Summary!D$105)/(Summary!D$106-Summary!D$105)</f>
        <v>0.71962616822429903</v>
      </c>
      <c r="L13" s="2">
        <f>(F13-Summary!E$105)/(Summary!E$106-Summary!E$105)</f>
        <v>0.2</v>
      </c>
      <c r="M13" s="2">
        <f>(G13-Summary!F$105)/(Summary!F$106-Summary!F$105)</f>
        <v>0.66666666666666663</v>
      </c>
      <c r="N13" s="2">
        <f>SQRT((I13-Summary!B$109)^2+(J13-Summary!C$109)^2+(K13-Summary!D$109)^2+(L13-Summary!E$109)^2+(M13-Summary!F$109)^2)</f>
        <v>0.93106087373808999</v>
      </c>
    </row>
    <row r="14" spans="1:14" x14ac:dyDescent="0.35">
      <c r="A14" s="2" t="s">
        <v>30</v>
      </c>
      <c r="B14" s="2">
        <v>50</v>
      </c>
      <c r="C14" s="2" t="s">
        <v>15</v>
      </c>
      <c r="D14" s="2">
        <v>108015</v>
      </c>
      <c r="E14" s="2">
        <v>781</v>
      </c>
      <c r="F14" s="2">
        <v>5</v>
      </c>
      <c r="G14" s="2">
        <v>3</v>
      </c>
      <c r="H14" s="2" t="s">
        <v>16</v>
      </c>
      <c r="I14" s="2">
        <f>(B14-Summary!B$105)/(Summary!B$106-Summary!B$105)</f>
        <v>0.73684210526315785</v>
      </c>
      <c r="J14" s="2">
        <f>(D14-Summary!C$105)/(Summary!C$106-Summary!C$105)</f>
        <v>0.55452683889173293</v>
      </c>
      <c r="K14" s="2">
        <f>(E14-Summary!D$105)/(Summary!D$106-Summary!D$105)</f>
        <v>0.79439252336448596</v>
      </c>
      <c r="L14" s="2">
        <f>(F14-Summary!E$105)/(Summary!E$106-Summary!E$105)</f>
        <v>0.25</v>
      </c>
      <c r="M14" s="2">
        <f>(G14-Summary!F$105)/(Summary!F$106-Summary!F$105)</f>
        <v>1</v>
      </c>
      <c r="N14" s="2">
        <f>SQRT((I14-Summary!B$109)^2+(J14-Summary!C$109)^2+(K14-Summary!D$109)^2+(L14-Summary!E$109)^2+(M14-Summary!F$109)^2)</f>
        <v>0.85794257138539221</v>
      </c>
    </row>
    <row r="15" spans="1:14" x14ac:dyDescent="0.35">
      <c r="A15" s="2" t="s">
        <v>31</v>
      </c>
      <c r="B15" s="2">
        <v>51</v>
      </c>
      <c r="C15" s="2" t="s">
        <v>15</v>
      </c>
      <c r="D15" s="2">
        <v>92344</v>
      </c>
      <c r="E15" s="2">
        <v>668</v>
      </c>
      <c r="F15" s="2">
        <v>2</v>
      </c>
      <c r="G15" s="2">
        <v>3</v>
      </c>
      <c r="H15" s="2" t="s">
        <v>23</v>
      </c>
      <c r="I15" s="2">
        <f>(B15-Summary!B$105)/(Summary!B$106-Summary!B$105)</f>
        <v>0.76315789473684215</v>
      </c>
      <c r="J15" s="2">
        <f>(D15-Summary!C$105)/(Summary!C$106-Summary!C$105)</f>
        <v>0.45669193022762178</v>
      </c>
      <c r="K15" s="2">
        <f>(E15-Summary!D$105)/(Summary!D$106-Summary!D$105)</f>
        <v>0.44236760124610591</v>
      </c>
      <c r="L15" s="2">
        <f>(F15-Summary!E$105)/(Summary!E$106-Summary!E$105)</f>
        <v>0.1</v>
      </c>
      <c r="M15" s="2">
        <f>(G15-Summary!F$105)/(Summary!F$106-Summary!F$105)</f>
        <v>1</v>
      </c>
      <c r="N15" s="2">
        <f>SQRT((I15-Summary!B$109)^2+(J15-Summary!C$109)^2+(K15-Summary!D$109)^2+(L15-Summary!E$109)^2+(M15-Summary!F$109)^2)</f>
        <v>0.90653891101889561</v>
      </c>
    </row>
    <row r="16" spans="1:14" x14ac:dyDescent="0.35">
      <c r="A16" s="2" t="s">
        <v>32</v>
      </c>
      <c r="B16" s="2">
        <v>49</v>
      </c>
      <c r="C16" s="2" t="s">
        <v>15</v>
      </c>
      <c r="D16" s="2">
        <v>99908</v>
      </c>
      <c r="E16" s="2">
        <v>763</v>
      </c>
      <c r="F16" s="2">
        <v>0</v>
      </c>
      <c r="G16" s="2">
        <v>3</v>
      </c>
      <c r="H16" s="2" t="s">
        <v>16</v>
      </c>
      <c r="I16" s="2">
        <f>(B16-Summary!B$105)/(Summary!B$106-Summary!B$105)</f>
        <v>0.71052631578947367</v>
      </c>
      <c r="J16" s="2">
        <f>(D16-Summary!C$105)/(Summary!C$106-Summary!C$105)</f>
        <v>0.50391439523530068</v>
      </c>
      <c r="K16" s="2">
        <f>(E16-Summary!D$105)/(Summary!D$106-Summary!D$105)</f>
        <v>0.73831775700934577</v>
      </c>
      <c r="L16" s="2">
        <f>(F16-Summary!E$105)/(Summary!E$106-Summary!E$105)</f>
        <v>0</v>
      </c>
      <c r="M16" s="2">
        <f>(G16-Summary!F$105)/(Summary!F$106-Summary!F$105)</f>
        <v>1</v>
      </c>
      <c r="N16" s="2">
        <f>SQRT((I16-Summary!B$109)^2+(J16-Summary!C$109)^2+(K16-Summary!D$109)^2+(L16-Summary!E$109)^2+(M16-Summary!F$109)^2)</f>
        <v>0.89193254880764827</v>
      </c>
    </row>
    <row r="17" spans="1:14" x14ac:dyDescent="0.35">
      <c r="A17" s="2" t="s">
        <v>33</v>
      </c>
      <c r="B17" s="2">
        <v>52</v>
      </c>
      <c r="C17" s="2" t="s">
        <v>18</v>
      </c>
      <c r="D17" s="2">
        <v>110136</v>
      </c>
      <c r="E17" s="2">
        <v>610</v>
      </c>
      <c r="F17" s="2">
        <v>14</v>
      </c>
      <c r="G17" s="2">
        <v>0</v>
      </c>
      <c r="H17" s="2" t="s">
        <v>16</v>
      </c>
      <c r="I17" s="2">
        <f>(B17-Summary!B$105)/(Summary!B$106-Summary!B$105)</f>
        <v>0.78947368421052633</v>
      </c>
      <c r="J17" s="2">
        <f>(D17-Summary!C$105)/(Summary!C$106-Summary!C$105)</f>
        <v>0.56776835770205647</v>
      </c>
      <c r="K17" s="2">
        <f>(E17-Summary!D$105)/(Summary!D$106-Summary!D$105)</f>
        <v>0.26168224299065418</v>
      </c>
      <c r="L17" s="2">
        <f>(F17-Summary!E$105)/(Summary!E$106-Summary!E$105)</f>
        <v>0.7</v>
      </c>
      <c r="M17" s="2">
        <f>(G17-Summary!F$105)/(Summary!F$106-Summary!F$105)</f>
        <v>0</v>
      </c>
      <c r="N17" s="2">
        <f>SQRT((I17-Summary!B$109)^2+(J17-Summary!C$109)^2+(K17-Summary!D$109)^2+(L17-Summary!E$109)^2+(M17-Summary!F$109)^2)</f>
        <v>0.85313199400074224</v>
      </c>
    </row>
    <row r="18" spans="1:14" x14ac:dyDescent="0.35">
      <c r="A18" s="2" t="s">
        <v>34</v>
      </c>
      <c r="B18" s="2">
        <v>41</v>
      </c>
      <c r="C18" s="2" t="s">
        <v>18</v>
      </c>
      <c r="D18" s="2">
        <v>24036</v>
      </c>
      <c r="E18" s="2">
        <v>546</v>
      </c>
      <c r="F18" s="2">
        <v>20</v>
      </c>
      <c r="G18" s="2">
        <v>3</v>
      </c>
      <c r="H18" s="2" t="s">
        <v>23</v>
      </c>
      <c r="I18" s="2">
        <f>(B18-Summary!B$105)/(Summary!B$106-Summary!B$105)</f>
        <v>0.5</v>
      </c>
      <c r="J18" s="2">
        <f>(D18-Summary!C$105)/(Summary!C$106-Summary!C$105)</f>
        <v>3.024135649090387E-2</v>
      </c>
      <c r="K18" s="2">
        <f>(E18-Summary!D$105)/(Summary!D$106-Summary!D$105)</f>
        <v>6.2305295950155763E-2</v>
      </c>
      <c r="L18" s="2">
        <f>(F18-Summary!E$105)/(Summary!E$106-Summary!E$105)</f>
        <v>1</v>
      </c>
      <c r="M18" s="2">
        <f>(G18-Summary!F$105)/(Summary!F$106-Summary!F$105)</f>
        <v>1</v>
      </c>
      <c r="N18" s="2">
        <f>SQRT((I18-Summary!B$109)^2+(J18-Summary!C$109)^2+(K18-Summary!D$109)^2+(L18-Summary!E$109)^2+(M18-Summary!F$109)^2)</f>
        <v>1.1819872686849162</v>
      </c>
    </row>
    <row r="19" spans="1:14" x14ac:dyDescent="0.35">
      <c r="A19" s="2" t="s">
        <v>35</v>
      </c>
      <c r="B19" s="2">
        <v>26</v>
      </c>
      <c r="C19" s="2" t="s">
        <v>18</v>
      </c>
      <c r="D19" s="2">
        <v>40647</v>
      </c>
      <c r="E19" s="2">
        <v>551</v>
      </c>
      <c r="F19" s="2">
        <v>2</v>
      </c>
      <c r="G19" s="2">
        <v>0</v>
      </c>
      <c r="H19" s="2" t="s">
        <v>23</v>
      </c>
      <c r="I19" s="2">
        <f>(B19-Summary!B$105)/(Summary!B$106-Summary!B$105)</f>
        <v>0.10526315789473684</v>
      </c>
      <c r="J19" s="2">
        <f>(D19-Summary!C$105)/(Summary!C$106-Summary!C$105)</f>
        <v>0.13394473648066527</v>
      </c>
      <c r="K19" s="2">
        <f>(E19-Summary!D$105)/(Summary!D$106-Summary!D$105)</f>
        <v>7.7881619937694699E-2</v>
      </c>
      <c r="L19" s="2">
        <f>(F19-Summary!E$105)/(Summary!E$106-Summary!E$105)</f>
        <v>0.1</v>
      </c>
      <c r="M19" s="2">
        <f>(G19-Summary!F$105)/(Summary!F$106-Summary!F$105)</f>
        <v>0</v>
      </c>
      <c r="N19" s="2">
        <f>SQRT((I19-Summary!B$109)^2+(J19-Summary!C$109)^2+(K19-Summary!D$109)^2+(L19-Summary!E$109)^2+(M19-Summary!F$109)^2)</f>
        <v>0.77368066411722125</v>
      </c>
    </row>
    <row r="20" spans="1:14" x14ac:dyDescent="0.35">
      <c r="A20" s="2" t="s">
        <v>36</v>
      </c>
      <c r="B20" s="2">
        <v>54</v>
      </c>
      <c r="C20" s="2" t="s">
        <v>18</v>
      </c>
      <c r="D20" s="2">
        <v>57768</v>
      </c>
      <c r="E20" s="2">
        <v>667</v>
      </c>
      <c r="F20" s="2">
        <v>6</v>
      </c>
      <c r="G20" s="2">
        <v>1</v>
      </c>
      <c r="H20" s="2" t="s">
        <v>16</v>
      </c>
      <c r="I20" s="2">
        <f>(B20-Summary!B$105)/(Summary!B$106-Summary!B$105)</f>
        <v>0.84210526315789469</v>
      </c>
      <c r="J20" s="2">
        <f>(D20-Summary!C$105)/(Summary!C$106-Summary!C$105)</f>
        <v>0.24083207431732198</v>
      </c>
      <c r="K20" s="2">
        <f>(E20-Summary!D$105)/(Summary!D$106-Summary!D$105)</f>
        <v>0.43925233644859812</v>
      </c>
      <c r="L20" s="2">
        <f>(F20-Summary!E$105)/(Summary!E$106-Summary!E$105)</f>
        <v>0.3</v>
      </c>
      <c r="M20" s="2">
        <f>(G20-Summary!F$105)/(Summary!F$106-Summary!F$105)</f>
        <v>0.33333333333333331</v>
      </c>
      <c r="N20" s="2">
        <f>SQRT((I20-Summary!B$109)^2+(J20-Summary!C$109)^2+(K20-Summary!D$109)^2+(L20-Summary!E$109)^2+(M20-Summary!F$109)^2)</f>
        <v>0.63548682165918591</v>
      </c>
    </row>
    <row r="21" spans="1:14" x14ac:dyDescent="0.35">
      <c r="A21" s="2" t="s">
        <v>37</v>
      </c>
      <c r="B21" s="2">
        <v>39</v>
      </c>
      <c r="C21" s="2" t="s">
        <v>18</v>
      </c>
      <c r="D21" s="2">
        <v>36553</v>
      </c>
      <c r="E21" s="2">
        <v>818</v>
      </c>
      <c r="F21" s="2">
        <v>10</v>
      </c>
      <c r="G21" s="2">
        <v>2</v>
      </c>
      <c r="H21" s="2" t="s">
        <v>16</v>
      </c>
      <c r="I21" s="2">
        <f>(B21-Summary!B$105)/(Summary!B$106-Summary!B$105)</f>
        <v>0.44736842105263158</v>
      </c>
      <c r="J21" s="2">
        <f>(D21-Summary!C$105)/(Summary!C$106-Summary!C$105)</f>
        <v>0.10838567094107805</v>
      </c>
      <c r="K21" s="2">
        <f>(E21-Summary!D$105)/(Summary!D$106-Summary!D$105)</f>
        <v>0.90965732087227413</v>
      </c>
      <c r="L21" s="2">
        <f>(F21-Summary!E$105)/(Summary!E$106-Summary!E$105)</f>
        <v>0.5</v>
      </c>
      <c r="M21" s="2">
        <f>(G21-Summary!F$105)/(Summary!F$106-Summary!F$105)</f>
        <v>0.66666666666666663</v>
      </c>
      <c r="N21" s="2">
        <f>SQRT((I21-Summary!B$109)^2+(J21-Summary!C$109)^2+(K21-Summary!D$109)^2+(L21-Summary!E$109)^2+(M21-Summary!F$109)^2)</f>
        <v>0.53029502370625836</v>
      </c>
    </row>
    <row r="22" spans="1:14" x14ac:dyDescent="0.35">
      <c r="A22" s="2" t="s">
        <v>38</v>
      </c>
      <c r="B22" s="2">
        <v>41</v>
      </c>
      <c r="C22" s="2" t="s">
        <v>15</v>
      </c>
      <c r="D22" s="2">
        <v>89217</v>
      </c>
      <c r="E22" s="2">
        <v>562</v>
      </c>
      <c r="F22" s="2">
        <v>19</v>
      </c>
      <c r="G22" s="2">
        <v>1</v>
      </c>
      <c r="H22" s="2" t="s">
        <v>16</v>
      </c>
      <c r="I22" s="2">
        <f>(B22-Summary!B$105)/(Summary!B$106-Summary!B$105)</f>
        <v>0.5</v>
      </c>
      <c r="J22" s="2">
        <f>(D22-Summary!C$105)/(Summary!C$106-Summary!C$105)</f>
        <v>0.4371698984879322</v>
      </c>
      <c r="K22" s="2">
        <f>(E22-Summary!D$105)/(Summary!D$106-Summary!D$105)</f>
        <v>0.11214953271028037</v>
      </c>
      <c r="L22" s="2">
        <f>(F22-Summary!E$105)/(Summary!E$106-Summary!E$105)</f>
        <v>0.95</v>
      </c>
      <c r="M22" s="2">
        <f>(G22-Summary!F$105)/(Summary!F$106-Summary!F$105)</f>
        <v>0.33333333333333331</v>
      </c>
      <c r="N22" s="2">
        <f>SQRT((I22-Summary!B$109)^2+(J22-Summary!C$109)^2+(K22-Summary!D$109)^2+(L22-Summary!E$109)^2+(M22-Summary!F$109)^2)</f>
        <v>0.85930787270988374</v>
      </c>
    </row>
    <row r="23" spans="1:14" x14ac:dyDescent="0.35">
      <c r="A23" s="2" t="s">
        <v>39</v>
      </c>
      <c r="B23" s="2">
        <v>35</v>
      </c>
      <c r="C23" s="2" t="s">
        <v>15</v>
      </c>
      <c r="D23" s="2">
        <v>126281</v>
      </c>
      <c r="E23" s="2">
        <v>670</v>
      </c>
      <c r="F23" s="2">
        <v>14</v>
      </c>
      <c r="G23" s="2">
        <v>0</v>
      </c>
      <c r="H23" s="2" t="s">
        <v>16</v>
      </c>
      <c r="I23" s="2">
        <f>(B23-Summary!B$105)/(Summary!B$106-Summary!B$105)</f>
        <v>0.34210526315789475</v>
      </c>
      <c r="J23" s="2">
        <f>(D23-Summary!C$105)/(Summary!C$106-Summary!C$105)</f>
        <v>0.66856247424739979</v>
      </c>
      <c r="K23" s="2">
        <f>(E23-Summary!D$105)/(Summary!D$106-Summary!D$105)</f>
        <v>0.44859813084112149</v>
      </c>
      <c r="L23" s="2">
        <f>(F23-Summary!E$105)/(Summary!E$106-Summary!E$105)</f>
        <v>0.7</v>
      </c>
      <c r="M23" s="2">
        <f>(G23-Summary!F$105)/(Summary!F$106-Summary!F$105)</f>
        <v>0</v>
      </c>
      <c r="N23" s="2">
        <f>SQRT((I23-Summary!B$109)^2+(J23-Summary!C$109)^2+(K23-Summary!D$109)^2+(L23-Summary!E$109)^2+(M23-Summary!F$109)^2)</f>
        <v>0.6266178616238568</v>
      </c>
    </row>
    <row r="24" spans="1:14" x14ac:dyDescent="0.35">
      <c r="A24" s="2" t="s">
        <v>40</v>
      </c>
      <c r="B24" s="2">
        <v>28</v>
      </c>
      <c r="C24" s="2" t="s">
        <v>18</v>
      </c>
      <c r="D24" s="2">
        <v>124018</v>
      </c>
      <c r="E24" s="2">
        <v>753</v>
      </c>
      <c r="F24" s="2">
        <v>16</v>
      </c>
      <c r="G24" s="2">
        <v>0</v>
      </c>
      <c r="H24" s="2" t="s">
        <v>16</v>
      </c>
      <c r="I24" s="2">
        <f>(B24-Summary!B$105)/(Summary!B$106-Summary!B$105)</f>
        <v>0.15789473684210525</v>
      </c>
      <c r="J24" s="2">
        <f>(D24-Summary!C$105)/(Summary!C$106-Summary!C$105)</f>
        <v>0.65443444168362697</v>
      </c>
      <c r="K24" s="2">
        <f>(E24-Summary!D$105)/(Summary!D$106-Summary!D$105)</f>
        <v>0.70716510903426788</v>
      </c>
      <c r="L24" s="2">
        <f>(F24-Summary!E$105)/(Summary!E$106-Summary!E$105)</f>
        <v>0.8</v>
      </c>
      <c r="M24" s="2">
        <f>(G24-Summary!F$105)/(Summary!F$106-Summary!F$105)</f>
        <v>0</v>
      </c>
      <c r="N24" s="2">
        <f>SQRT((I24-Summary!B$109)^2+(J24-Summary!C$109)^2+(K24-Summary!D$109)^2+(L24-Summary!E$109)^2+(M24-Summary!F$109)^2)</f>
        <v>0.64769995270961267</v>
      </c>
    </row>
    <row r="25" spans="1:14" x14ac:dyDescent="0.35">
      <c r="A25" s="2" t="s">
        <v>41</v>
      </c>
      <c r="B25" s="2">
        <v>58</v>
      </c>
      <c r="C25" s="2" t="s">
        <v>18</v>
      </c>
      <c r="D25" s="2">
        <v>94318</v>
      </c>
      <c r="E25" s="2">
        <v>586</v>
      </c>
      <c r="F25" s="2">
        <v>12</v>
      </c>
      <c r="G25" s="2">
        <v>3</v>
      </c>
      <c r="H25" s="2" t="s">
        <v>16</v>
      </c>
      <c r="I25" s="2">
        <f>(B25-Summary!B$105)/(Summary!B$106-Summary!B$105)</f>
        <v>0.94736842105263153</v>
      </c>
      <c r="J25" s="2">
        <f>(D25-Summary!C$105)/(Summary!C$106-Summary!C$105)</f>
        <v>0.46901572001148722</v>
      </c>
      <c r="K25" s="2">
        <f>(E25-Summary!D$105)/(Summary!D$106-Summary!D$105)</f>
        <v>0.18691588785046728</v>
      </c>
      <c r="L25" s="2">
        <f>(F25-Summary!E$105)/(Summary!E$106-Summary!E$105)</f>
        <v>0.6</v>
      </c>
      <c r="M25" s="2">
        <f>(G25-Summary!F$105)/(Summary!F$106-Summary!F$105)</f>
        <v>1</v>
      </c>
      <c r="N25" s="2">
        <f>SQRT((I25-Summary!B$109)^2+(J25-Summary!C$109)^2+(K25-Summary!D$109)^2+(L25-Summary!E$109)^2+(M25-Summary!F$109)^2)</f>
        <v>1.1071637113849508</v>
      </c>
    </row>
    <row r="26" spans="1:14" x14ac:dyDescent="0.35">
      <c r="A26" s="2" t="s">
        <v>42</v>
      </c>
      <c r="B26" s="2">
        <v>52</v>
      </c>
      <c r="C26" s="2" t="s">
        <v>18</v>
      </c>
      <c r="D26" s="2">
        <v>156523</v>
      </c>
      <c r="E26" s="2">
        <v>758</v>
      </c>
      <c r="F26" s="2">
        <v>8</v>
      </c>
      <c r="G26" s="2">
        <v>1</v>
      </c>
      <c r="H26" s="2" t="s">
        <v>16</v>
      </c>
      <c r="I26" s="2">
        <f>(B26-Summary!B$105)/(Summary!B$106-Summary!B$105)</f>
        <v>0.78947368421052633</v>
      </c>
      <c r="J26" s="2">
        <f>(D26-Summary!C$105)/(Summary!C$106-Summary!C$105)</f>
        <v>0.85736493151369098</v>
      </c>
      <c r="K26" s="2">
        <f>(E26-Summary!D$105)/(Summary!D$106-Summary!D$105)</f>
        <v>0.72274143302180682</v>
      </c>
      <c r="L26" s="2">
        <f>(F26-Summary!E$105)/(Summary!E$106-Summary!E$105)</f>
        <v>0.4</v>
      </c>
      <c r="M26" s="2">
        <f>(G26-Summary!F$105)/(Summary!F$106-Summary!F$105)</f>
        <v>0.33333333333333331</v>
      </c>
      <c r="N26" s="2">
        <f>SQRT((I26-Summary!B$109)^2+(J26-Summary!C$109)^2+(K26-Summary!D$109)^2+(L26-Summary!E$109)^2+(M26-Summary!F$109)^2)</f>
        <v>0.73554431985042767</v>
      </c>
    </row>
    <row r="27" spans="1:14" x14ac:dyDescent="0.35">
      <c r="A27" s="2" t="s">
        <v>43</v>
      </c>
      <c r="B27" s="2">
        <v>46</v>
      </c>
      <c r="C27" s="2" t="s">
        <v>15</v>
      </c>
      <c r="D27" s="2">
        <v>109568</v>
      </c>
      <c r="E27" s="2">
        <v>621</v>
      </c>
      <c r="F27" s="2">
        <v>4</v>
      </c>
      <c r="G27" s="2">
        <v>1</v>
      </c>
      <c r="H27" s="2" t="s">
        <v>16</v>
      </c>
      <c r="I27" s="2">
        <f>(B27-Summary!B$105)/(Summary!B$106-Summary!B$105)</f>
        <v>0.63157894736842102</v>
      </c>
      <c r="J27" s="2">
        <f>(D27-Summary!C$105)/(Summary!C$106-Summary!C$105)</f>
        <v>0.56422230268825935</v>
      </c>
      <c r="K27" s="2">
        <f>(E27-Summary!D$105)/(Summary!D$106-Summary!D$105)</f>
        <v>0.29595015576323985</v>
      </c>
      <c r="L27" s="2">
        <f>(F27-Summary!E$105)/(Summary!E$106-Summary!E$105)</f>
        <v>0.2</v>
      </c>
      <c r="M27" s="2">
        <f>(G27-Summary!F$105)/(Summary!F$106-Summary!F$105)</f>
        <v>0.33333333333333331</v>
      </c>
      <c r="N27" s="2">
        <f>SQRT((I27-Summary!B$109)^2+(J27-Summary!C$109)^2+(K27-Summary!D$109)^2+(L27-Summary!E$109)^2+(M27-Summary!F$109)^2)</f>
        <v>0.58897967813235175</v>
      </c>
    </row>
    <row r="28" spans="1:14" x14ac:dyDescent="0.35">
      <c r="A28" s="2" t="s">
        <v>44</v>
      </c>
      <c r="B28" s="2">
        <v>37</v>
      </c>
      <c r="C28" s="2" t="s">
        <v>15</v>
      </c>
      <c r="D28" s="2">
        <v>30830</v>
      </c>
      <c r="E28" s="2">
        <v>787</v>
      </c>
      <c r="F28" s="2">
        <v>18</v>
      </c>
      <c r="G28" s="2">
        <v>3</v>
      </c>
      <c r="H28" s="2" t="s">
        <v>16</v>
      </c>
      <c r="I28" s="2">
        <f>(B28-Summary!B$105)/(Summary!B$106-Summary!B$105)</f>
        <v>0.39473684210526316</v>
      </c>
      <c r="J28" s="2">
        <f>(D28-Summary!C$105)/(Summary!C$106-Summary!C$105)</f>
        <v>7.2656669455231054E-2</v>
      </c>
      <c r="K28" s="2">
        <f>(E28-Summary!D$105)/(Summary!D$106-Summary!D$105)</f>
        <v>0.81308411214953269</v>
      </c>
      <c r="L28" s="2">
        <f>(F28-Summary!E$105)/(Summary!E$106-Summary!E$105)</f>
        <v>0.9</v>
      </c>
      <c r="M28" s="2">
        <f>(G28-Summary!F$105)/(Summary!F$106-Summary!F$105)</f>
        <v>1</v>
      </c>
      <c r="N28" s="2">
        <f>SQRT((I28-Summary!B$109)^2+(J28-Summary!C$109)^2+(K28-Summary!D$109)^2+(L28-Summary!E$109)^2+(M28-Summary!F$109)^2)</f>
        <v>0.92733545888437796</v>
      </c>
    </row>
    <row r="29" spans="1:14" x14ac:dyDescent="0.35">
      <c r="A29" s="2" t="s">
        <v>45</v>
      </c>
      <c r="B29" s="2">
        <v>53</v>
      </c>
      <c r="C29" s="2" t="s">
        <v>15</v>
      </c>
      <c r="D29" s="2">
        <v>141930</v>
      </c>
      <c r="E29" s="2">
        <v>711</v>
      </c>
      <c r="F29" s="2">
        <v>16</v>
      </c>
      <c r="G29" s="2">
        <v>0</v>
      </c>
      <c r="H29" s="2" t="s">
        <v>16</v>
      </c>
      <c r="I29" s="2">
        <f>(B29-Summary!B$105)/(Summary!B$106-Summary!B$105)</f>
        <v>0.81578947368421051</v>
      </c>
      <c r="J29" s="2">
        <f>(D29-Summary!C$105)/(Summary!C$106-Summary!C$105)</f>
        <v>0.76626003571027235</v>
      </c>
      <c r="K29" s="2">
        <f>(E29-Summary!D$105)/(Summary!D$106-Summary!D$105)</f>
        <v>0.57632398753894076</v>
      </c>
      <c r="L29" s="2">
        <f>(F29-Summary!E$105)/(Summary!E$106-Summary!E$105)</f>
        <v>0.8</v>
      </c>
      <c r="M29" s="2">
        <f>(G29-Summary!F$105)/(Summary!F$106-Summary!F$105)</f>
        <v>0</v>
      </c>
      <c r="N29" s="2">
        <f>SQRT((I29-Summary!B$109)^2+(J29-Summary!C$109)^2+(K29-Summary!D$109)^2+(L29-Summary!E$109)^2+(M29-Summary!F$109)^2)</f>
        <v>0.89606685677711317</v>
      </c>
    </row>
    <row r="30" spans="1:14" x14ac:dyDescent="0.35">
      <c r="A30" s="2" t="s">
        <v>46</v>
      </c>
      <c r="B30" s="2">
        <v>42</v>
      </c>
      <c r="C30" s="2" t="s">
        <v>15</v>
      </c>
      <c r="D30" s="2">
        <v>111085</v>
      </c>
      <c r="E30" s="2">
        <v>701</v>
      </c>
      <c r="F30" s="2">
        <v>0</v>
      </c>
      <c r="G30" s="2">
        <v>3</v>
      </c>
      <c r="H30" s="2" t="s">
        <v>16</v>
      </c>
      <c r="I30" s="2">
        <f>(B30-Summary!B$105)/(Summary!B$106-Summary!B$105)</f>
        <v>0.52631578947368418</v>
      </c>
      <c r="J30" s="2">
        <f>(D30-Summary!C$105)/(Summary!C$106-Summary!C$105)</f>
        <v>0.57369301651912252</v>
      </c>
      <c r="K30" s="2">
        <f>(E30-Summary!D$105)/(Summary!D$106-Summary!D$105)</f>
        <v>0.54517133956386288</v>
      </c>
      <c r="L30" s="2">
        <f>(F30-Summary!E$105)/(Summary!E$106-Summary!E$105)</f>
        <v>0</v>
      </c>
      <c r="M30" s="2">
        <f>(G30-Summary!F$105)/(Summary!F$106-Summary!F$105)</f>
        <v>1</v>
      </c>
      <c r="N30" s="2">
        <f>SQRT((I30-Summary!B$109)^2+(J30-Summary!C$109)^2+(K30-Summary!D$109)^2+(L30-Summary!E$109)^2+(M30-Summary!F$109)^2)</f>
        <v>0.83860704541130682</v>
      </c>
    </row>
    <row r="31" spans="1:14" x14ac:dyDescent="0.35">
      <c r="A31" s="2" t="s">
        <v>47</v>
      </c>
      <c r="B31" s="2">
        <v>38</v>
      </c>
      <c r="C31" s="2" t="s">
        <v>18</v>
      </c>
      <c r="D31" s="2">
        <v>120825</v>
      </c>
      <c r="E31" s="2">
        <v>578</v>
      </c>
      <c r="F31" s="2">
        <v>15</v>
      </c>
      <c r="G31" s="2">
        <v>3</v>
      </c>
      <c r="H31" s="2" t="s">
        <v>23</v>
      </c>
      <c r="I31" s="2">
        <f>(B31-Summary!B$105)/(Summary!B$106-Summary!B$105)</f>
        <v>0.42105263157894735</v>
      </c>
      <c r="J31" s="2">
        <f>(D31-Summary!C$105)/(Summary!C$106-Summary!C$105)</f>
        <v>0.6345003683402215</v>
      </c>
      <c r="K31" s="2">
        <f>(E31-Summary!D$105)/(Summary!D$106-Summary!D$105)</f>
        <v>0.16199376947040497</v>
      </c>
      <c r="L31" s="2">
        <f>(F31-Summary!E$105)/(Summary!E$106-Summary!E$105)</f>
        <v>0.75</v>
      </c>
      <c r="M31" s="2">
        <f>(G31-Summary!F$105)/(Summary!F$106-Summary!F$105)</f>
        <v>1</v>
      </c>
      <c r="N31" s="2">
        <f>SQRT((I31-Summary!B$109)^2+(J31-Summary!C$109)^2+(K31-Summary!D$109)^2+(L31-Summary!E$109)^2+(M31-Summary!F$109)^2)</f>
        <v>0.98602425656252646</v>
      </c>
    </row>
    <row r="32" spans="1:14" x14ac:dyDescent="0.35">
      <c r="A32" s="2" t="s">
        <v>48</v>
      </c>
      <c r="B32" s="2">
        <v>39</v>
      </c>
      <c r="C32" s="2" t="s">
        <v>18</v>
      </c>
      <c r="D32" s="2">
        <v>109591</v>
      </c>
      <c r="E32" s="2">
        <v>673</v>
      </c>
      <c r="F32" s="2">
        <v>1</v>
      </c>
      <c r="G32" s="2">
        <v>2</v>
      </c>
      <c r="H32" s="2" t="s">
        <v>16</v>
      </c>
      <c r="I32" s="2">
        <f>(B32-Summary!B$105)/(Summary!B$106-Summary!B$105)</f>
        <v>0.44736842105263158</v>
      </c>
      <c r="J32" s="2">
        <f>(D32-Summary!C$105)/(Summary!C$106-Summary!C$105)</f>
        <v>0.56436589294409967</v>
      </c>
      <c r="K32" s="2">
        <f>(E32-Summary!D$105)/(Summary!D$106-Summary!D$105)</f>
        <v>0.45794392523364486</v>
      </c>
      <c r="L32" s="2">
        <f>(F32-Summary!E$105)/(Summary!E$106-Summary!E$105)</f>
        <v>0.05</v>
      </c>
      <c r="M32" s="2">
        <f>(G32-Summary!F$105)/(Summary!F$106-Summary!F$105)</f>
        <v>0.66666666666666663</v>
      </c>
      <c r="N32" s="2">
        <f>SQRT((I32-Summary!B$109)^2+(J32-Summary!C$109)^2+(K32-Summary!D$109)^2+(L32-Summary!E$109)^2+(M32-Summary!F$109)^2)</f>
        <v>0.57261282971259231</v>
      </c>
    </row>
    <row r="33" spans="1:14" x14ac:dyDescent="0.35">
      <c r="A33" s="2" t="s">
        <v>49</v>
      </c>
      <c r="B33" s="2">
        <v>30</v>
      </c>
      <c r="C33" s="2" t="s">
        <v>15</v>
      </c>
      <c r="D33" s="2">
        <v>107680</v>
      </c>
      <c r="E33" s="2">
        <v>803</v>
      </c>
      <c r="F33" s="2">
        <v>15</v>
      </c>
      <c r="G33" s="2">
        <v>0</v>
      </c>
      <c r="H33" s="2" t="s">
        <v>16</v>
      </c>
      <c r="I33" s="2">
        <f>(B33-Summary!B$105)/(Summary!B$106-Summary!B$105)</f>
        <v>0.21052631578947367</v>
      </c>
      <c r="J33" s="2">
        <f>(D33-Summary!C$105)/(Summary!C$106-Summary!C$105)</f>
        <v>0.55243541560014486</v>
      </c>
      <c r="K33" s="2">
        <f>(E33-Summary!D$105)/(Summary!D$106-Summary!D$105)</f>
        <v>0.86292834890965731</v>
      </c>
      <c r="L33" s="2">
        <f>(F33-Summary!E$105)/(Summary!E$106-Summary!E$105)</f>
        <v>0.75</v>
      </c>
      <c r="M33" s="2">
        <f>(G33-Summary!F$105)/(Summary!F$106-Summary!F$105)</f>
        <v>0</v>
      </c>
      <c r="N33" s="2">
        <f>SQRT((I33-Summary!B$109)^2+(J33-Summary!C$109)^2+(K33-Summary!D$109)^2+(L33-Summary!E$109)^2+(M33-Summary!F$109)^2)</f>
        <v>0.59297422175814363</v>
      </c>
    </row>
    <row r="34" spans="1:14" x14ac:dyDescent="0.35">
      <c r="A34" s="2" t="s">
        <v>50</v>
      </c>
      <c r="B34" s="2">
        <v>24</v>
      </c>
      <c r="C34" s="2" t="s">
        <v>15</v>
      </c>
      <c r="D34" s="2">
        <v>32671</v>
      </c>
      <c r="E34" s="2">
        <v>526</v>
      </c>
      <c r="F34" s="2">
        <v>17</v>
      </c>
      <c r="G34" s="2">
        <v>0</v>
      </c>
      <c r="H34" s="2" t="s">
        <v>23</v>
      </c>
      <c r="I34" s="2">
        <f>(B34-Summary!B$105)/(Summary!B$106-Summary!B$105)</f>
        <v>5.2631578947368418E-2</v>
      </c>
      <c r="J34" s="2">
        <f>(D34-Summary!C$105)/(Summary!C$106-Summary!C$105)</f>
        <v>8.4150132977063016E-2</v>
      </c>
      <c r="K34" s="2">
        <f>(E34-Summary!D$105)/(Summary!D$106-Summary!D$105)</f>
        <v>0</v>
      </c>
      <c r="L34" s="2">
        <f>(F34-Summary!E$105)/(Summary!E$106-Summary!E$105)</f>
        <v>0.85</v>
      </c>
      <c r="M34" s="2">
        <f>(G34-Summary!F$105)/(Summary!F$106-Summary!F$105)</f>
        <v>0</v>
      </c>
      <c r="N34" s="2">
        <f>SQRT((I34-Summary!B$109)^2+(J34-Summary!C$109)^2+(K34-Summary!D$109)^2+(L34-Summary!E$109)^2+(M34-Summary!F$109)^2)</f>
        <v>0.96335747187465548</v>
      </c>
    </row>
    <row r="35" spans="1:14" x14ac:dyDescent="0.35">
      <c r="A35" s="2" t="s">
        <v>51</v>
      </c>
      <c r="B35" s="2">
        <v>43</v>
      </c>
      <c r="C35" s="2" t="s">
        <v>18</v>
      </c>
      <c r="D35" s="2">
        <v>108592</v>
      </c>
      <c r="E35" s="2">
        <v>771</v>
      </c>
      <c r="F35" s="2">
        <v>2</v>
      </c>
      <c r="G35" s="2">
        <v>1</v>
      </c>
      <c r="H35" s="2" t="s">
        <v>16</v>
      </c>
      <c r="I35" s="2">
        <f>(B35-Summary!B$105)/(Summary!B$106-Summary!B$105)</f>
        <v>0.55263157894736847</v>
      </c>
      <c r="J35" s="2">
        <f>(D35-Summary!C$105)/(Summary!C$106-Summary!C$105)</f>
        <v>0.55812908139694595</v>
      </c>
      <c r="K35" s="2">
        <f>(E35-Summary!D$105)/(Summary!D$106-Summary!D$105)</f>
        <v>0.76323987538940807</v>
      </c>
      <c r="L35" s="2">
        <f>(F35-Summary!E$105)/(Summary!E$106-Summary!E$105)</f>
        <v>0.1</v>
      </c>
      <c r="M35" s="2">
        <f>(G35-Summary!F$105)/(Summary!F$106-Summary!F$105)</f>
        <v>0.33333333333333331</v>
      </c>
      <c r="N35" s="2">
        <f>SQRT((I35-Summary!B$109)^2+(J35-Summary!C$109)^2+(K35-Summary!D$109)^2+(L35-Summary!E$109)^2+(M35-Summary!F$109)^2)</f>
        <v>0.44546369511258266</v>
      </c>
    </row>
    <row r="36" spans="1:14" x14ac:dyDescent="0.35">
      <c r="A36" s="2" t="s">
        <v>52</v>
      </c>
      <c r="B36" s="2">
        <v>56</v>
      </c>
      <c r="C36" s="2" t="s">
        <v>15</v>
      </c>
      <c r="D36" s="2">
        <v>146776</v>
      </c>
      <c r="E36" s="2">
        <v>683</v>
      </c>
      <c r="F36" s="2">
        <v>9</v>
      </c>
      <c r="G36" s="2">
        <v>2</v>
      </c>
      <c r="H36" s="2" t="s">
        <v>16</v>
      </c>
      <c r="I36" s="2">
        <f>(B36-Summary!B$105)/(Summary!B$106-Summary!B$105)</f>
        <v>0.89473684210526316</v>
      </c>
      <c r="J36" s="2">
        <f>(D36-Summary!C$105)/(Summary!C$106-Summary!C$105)</f>
        <v>0.79651387831037967</v>
      </c>
      <c r="K36" s="2">
        <f>(E36-Summary!D$105)/(Summary!D$106-Summary!D$105)</f>
        <v>0.48909657320872274</v>
      </c>
      <c r="L36" s="2">
        <f>(F36-Summary!E$105)/(Summary!E$106-Summary!E$105)</f>
        <v>0.45</v>
      </c>
      <c r="M36" s="2">
        <f>(G36-Summary!F$105)/(Summary!F$106-Summary!F$105)</f>
        <v>0.66666666666666663</v>
      </c>
      <c r="N36" s="2">
        <f>SQRT((I36-Summary!B$109)^2+(J36-Summary!C$109)^2+(K36-Summary!D$109)^2+(L36-Summary!E$109)^2+(M36-Summary!F$109)^2)</f>
        <v>0.86866604034120254</v>
      </c>
    </row>
    <row r="37" spans="1:14" x14ac:dyDescent="0.35">
      <c r="A37" s="2" t="s">
        <v>53</v>
      </c>
      <c r="B37" s="2">
        <v>23</v>
      </c>
      <c r="C37" s="2" t="s">
        <v>18</v>
      </c>
      <c r="D37" s="2">
        <v>67240</v>
      </c>
      <c r="E37" s="2">
        <v>758</v>
      </c>
      <c r="F37" s="2">
        <v>2</v>
      </c>
      <c r="G37" s="2">
        <v>0</v>
      </c>
      <c r="H37" s="2" t="s">
        <v>16</v>
      </c>
      <c r="I37" s="2">
        <f>(B37-Summary!B$105)/(Summary!B$106-Summary!B$105)</f>
        <v>2.6315789473684209E-2</v>
      </c>
      <c r="J37" s="2">
        <f>(D37-Summary!C$105)/(Summary!C$106-Summary!C$105)</f>
        <v>0.29996628750515053</v>
      </c>
      <c r="K37" s="2">
        <f>(E37-Summary!D$105)/(Summary!D$106-Summary!D$105)</f>
        <v>0.72274143302180682</v>
      </c>
      <c r="L37" s="2">
        <f>(F37-Summary!E$105)/(Summary!E$106-Summary!E$105)</f>
        <v>0.1</v>
      </c>
      <c r="M37" s="2">
        <f>(G37-Summary!F$105)/(Summary!F$106-Summary!F$105)</f>
        <v>0</v>
      </c>
      <c r="N37" s="2">
        <f>SQRT((I37-Summary!B$109)^2+(J37-Summary!C$109)^2+(K37-Summary!D$109)^2+(L37-Summary!E$109)^2+(M37-Summary!F$109)^2)</f>
        <v>0.48428996153073289</v>
      </c>
    </row>
    <row r="38" spans="1:14" x14ac:dyDescent="0.35">
      <c r="A38" s="2" t="s">
        <v>54</v>
      </c>
      <c r="B38" s="2">
        <v>55</v>
      </c>
      <c r="C38" s="2" t="s">
        <v>18</v>
      </c>
      <c r="D38" s="2">
        <v>115660</v>
      </c>
      <c r="E38" s="2">
        <v>739</v>
      </c>
      <c r="F38" s="2">
        <v>11</v>
      </c>
      <c r="G38" s="2">
        <v>1</v>
      </c>
      <c r="H38" s="2" t="s">
        <v>16</v>
      </c>
      <c r="I38" s="2">
        <f>(B38-Summary!B$105)/(Summary!B$106-Summary!B$105)</f>
        <v>0.86842105263157898</v>
      </c>
      <c r="J38" s="2">
        <f>(D38-Summary!C$105)/(Summary!C$106-Summary!C$105)</f>
        <v>0.6022549913221541</v>
      </c>
      <c r="K38" s="2">
        <f>(E38-Summary!D$105)/(Summary!D$106-Summary!D$105)</f>
        <v>0.66355140186915884</v>
      </c>
      <c r="L38" s="2">
        <f>(F38-Summary!E$105)/(Summary!E$106-Summary!E$105)</f>
        <v>0.55000000000000004</v>
      </c>
      <c r="M38" s="2">
        <f>(G38-Summary!F$105)/(Summary!F$106-Summary!F$105)</f>
        <v>0.33333333333333331</v>
      </c>
      <c r="N38" s="2">
        <f>SQRT((I38-Summary!B$109)^2+(J38-Summary!C$109)^2+(K38-Summary!D$109)^2+(L38-Summary!E$109)^2+(M38-Summary!F$109)^2)</f>
        <v>0.68619742043147625</v>
      </c>
    </row>
    <row r="39" spans="1:14" x14ac:dyDescent="0.35">
      <c r="A39" s="2" t="s">
        <v>55</v>
      </c>
      <c r="B39" s="2">
        <v>54</v>
      </c>
      <c r="C39" s="2" t="s">
        <v>15</v>
      </c>
      <c r="D39" s="2">
        <v>22992</v>
      </c>
      <c r="E39" s="2">
        <v>663</v>
      </c>
      <c r="F39" s="2">
        <v>19</v>
      </c>
      <c r="G39" s="2">
        <v>0</v>
      </c>
      <c r="H39" s="2" t="s">
        <v>16</v>
      </c>
      <c r="I39" s="2">
        <f>(B39-Summary!B$105)/(Summary!B$106-Summary!B$105)</f>
        <v>0.84210526315789469</v>
      </c>
      <c r="J39" s="2">
        <f>(D39-Summary!C$105)/(Summary!C$106-Summary!C$105)</f>
        <v>2.3723607486671079E-2</v>
      </c>
      <c r="K39" s="2">
        <f>(E39-Summary!D$105)/(Summary!D$106-Summary!D$105)</f>
        <v>0.42679127725856697</v>
      </c>
      <c r="L39" s="2">
        <f>(F39-Summary!E$105)/(Summary!E$106-Summary!E$105)</f>
        <v>0.95</v>
      </c>
      <c r="M39" s="2">
        <f>(G39-Summary!F$105)/(Summary!F$106-Summary!F$105)</f>
        <v>0</v>
      </c>
      <c r="N39" s="2">
        <f>SQRT((I39-Summary!B$109)^2+(J39-Summary!C$109)^2+(K39-Summary!D$109)^2+(L39-Summary!E$109)^2+(M39-Summary!F$109)^2)</f>
        <v>0.98604365834377516</v>
      </c>
    </row>
    <row r="40" spans="1:14" x14ac:dyDescent="0.35">
      <c r="A40" s="2" t="s">
        <v>56</v>
      </c>
      <c r="B40" s="2">
        <v>32</v>
      </c>
      <c r="C40" s="2" t="s">
        <v>15</v>
      </c>
      <c r="D40" s="2">
        <v>74295</v>
      </c>
      <c r="E40" s="2">
        <v>622</v>
      </c>
      <c r="F40" s="2">
        <v>1</v>
      </c>
      <c r="G40" s="2">
        <v>2</v>
      </c>
      <c r="H40" s="2" t="s">
        <v>23</v>
      </c>
      <c r="I40" s="2">
        <f>(B40-Summary!B$105)/(Summary!B$106-Summary!B$105)</f>
        <v>0.26315789473684209</v>
      </c>
      <c r="J40" s="2">
        <f>(D40-Summary!C$105)/(Summary!C$106-Summary!C$105)</f>
        <v>0.34401103772053593</v>
      </c>
      <c r="K40" s="2">
        <f>(E40-Summary!D$105)/(Summary!D$106-Summary!D$105)</f>
        <v>0.29906542056074764</v>
      </c>
      <c r="L40" s="2">
        <f>(F40-Summary!E$105)/(Summary!E$106-Summary!E$105)</f>
        <v>0.05</v>
      </c>
      <c r="M40" s="2">
        <f>(G40-Summary!F$105)/(Summary!F$106-Summary!F$105)</f>
        <v>0.66666666666666663</v>
      </c>
      <c r="N40" s="2">
        <f>SQRT((I40-Summary!B$109)^2+(J40-Summary!C$109)^2+(K40-Summary!D$109)^2+(L40-Summary!E$109)^2+(M40-Summary!F$109)^2)</f>
        <v>0.58384987757762374</v>
      </c>
    </row>
    <row r="41" spans="1:14" x14ac:dyDescent="0.35">
      <c r="A41" s="2" t="s">
        <v>57</v>
      </c>
      <c r="B41" s="2">
        <v>46</v>
      </c>
      <c r="C41" s="2" t="s">
        <v>18</v>
      </c>
      <c r="D41" s="2">
        <v>88748</v>
      </c>
      <c r="E41" s="2">
        <v>727</v>
      </c>
      <c r="F41" s="2">
        <v>8</v>
      </c>
      <c r="G41" s="2">
        <v>0</v>
      </c>
      <c r="H41" s="2" t="s">
        <v>16</v>
      </c>
      <c r="I41" s="2">
        <f>(B41-Summary!B$105)/(Summary!B$106-Summary!B$105)</f>
        <v>0.63157894736842102</v>
      </c>
      <c r="J41" s="2">
        <f>(D41-Summary!C$105)/(Summary!C$106-Summary!C$105)</f>
        <v>0.43424190587970884</v>
      </c>
      <c r="K41" s="2">
        <f>(E41-Summary!D$105)/(Summary!D$106-Summary!D$105)</f>
        <v>0.62616822429906538</v>
      </c>
      <c r="L41" s="2">
        <f>(F41-Summary!E$105)/(Summary!E$106-Summary!E$105)</f>
        <v>0.4</v>
      </c>
      <c r="M41" s="2">
        <f>(G41-Summary!F$105)/(Summary!F$106-Summary!F$105)</f>
        <v>0</v>
      </c>
      <c r="N41" s="2">
        <f>SQRT((I41-Summary!B$109)^2+(J41-Summary!C$109)^2+(K41-Summary!D$109)^2+(L41-Summary!E$109)^2+(M41-Summary!F$109)^2)</f>
        <v>0.50881773312412482</v>
      </c>
    </row>
    <row r="42" spans="1:14" x14ac:dyDescent="0.35">
      <c r="A42" s="2" t="s">
        <v>58</v>
      </c>
      <c r="B42" s="2">
        <v>27</v>
      </c>
      <c r="C42" s="2" t="s">
        <v>18</v>
      </c>
      <c r="D42" s="2">
        <v>177204</v>
      </c>
      <c r="E42" s="2">
        <v>566</v>
      </c>
      <c r="F42" s="2">
        <v>20</v>
      </c>
      <c r="G42" s="2">
        <v>2</v>
      </c>
      <c r="H42" s="2" t="s">
        <v>23</v>
      </c>
      <c r="I42" s="2">
        <f>(B42-Summary!B$105)/(Summary!B$106-Summary!B$105)</f>
        <v>0.13157894736842105</v>
      </c>
      <c r="J42" s="2">
        <f>(D42-Summary!C$105)/(Summary!C$106-Summary!C$105)</f>
        <v>0.98647754373259744</v>
      </c>
      <c r="K42" s="2">
        <f>(E42-Summary!D$105)/(Summary!D$106-Summary!D$105)</f>
        <v>0.12461059190031153</v>
      </c>
      <c r="L42" s="2">
        <f>(F42-Summary!E$105)/(Summary!E$106-Summary!E$105)</f>
        <v>1</v>
      </c>
      <c r="M42" s="2">
        <f>(G42-Summary!F$105)/(Summary!F$106-Summary!F$105)</f>
        <v>0.66666666666666663</v>
      </c>
      <c r="N42" s="2">
        <f>SQRT((I42-Summary!B$109)^2+(J42-Summary!C$109)^2+(K42-Summary!D$109)^2+(L42-Summary!E$109)^2+(M42-Summary!F$109)^2)</f>
        <v>1.121904394269587</v>
      </c>
    </row>
    <row r="43" spans="1:14" x14ac:dyDescent="0.35">
      <c r="A43" s="2" t="s">
        <v>59</v>
      </c>
      <c r="B43" s="2">
        <v>51</v>
      </c>
      <c r="C43" s="2" t="s">
        <v>15</v>
      </c>
      <c r="D43" s="2">
        <v>52762</v>
      </c>
      <c r="E43" s="2">
        <v>713</v>
      </c>
      <c r="F43" s="2">
        <v>6</v>
      </c>
      <c r="G43" s="2">
        <v>0</v>
      </c>
      <c r="H43" s="2" t="s">
        <v>16</v>
      </c>
      <c r="I43" s="2">
        <f>(B43-Summary!B$105)/(Summary!B$106-Summary!B$105)</f>
        <v>0.76315789473684215</v>
      </c>
      <c r="J43" s="2">
        <f>(D43-Summary!C$105)/(Summary!C$106-Summary!C$105)</f>
        <v>0.20957934298093372</v>
      </c>
      <c r="K43" s="2">
        <f>(E43-Summary!D$105)/(Summary!D$106-Summary!D$105)</f>
        <v>0.58255451713395634</v>
      </c>
      <c r="L43" s="2">
        <f>(F43-Summary!E$105)/(Summary!E$106-Summary!E$105)</f>
        <v>0.3</v>
      </c>
      <c r="M43" s="2">
        <f>(G43-Summary!F$105)/(Summary!F$106-Summary!F$105)</f>
        <v>0</v>
      </c>
      <c r="N43" s="2">
        <f>SQRT((I43-Summary!B$109)^2+(J43-Summary!C$109)^2+(K43-Summary!D$109)^2+(L43-Summary!E$109)^2+(M43-Summary!F$109)^2)</f>
        <v>0.62533792949491407</v>
      </c>
    </row>
    <row r="44" spans="1:14" x14ac:dyDescent="0.35">
      <c r="A44" s="2" t="s">
        <v>60</v>
      </c>
      <c r="B44" s="2">
        <v>49</v>
      </c>
      <c r="C44" s="2" t="s">
        <v>18</v>
      </c>
      <c r="D44" s="2">
        <v>62801</v>
      </c>
      <c r="E44" s="2">
        <v>551</v>
      </c>
      <c r="F44" s="2">
        <v>2</v>
      </c>
      <c r="G44" s="2">
        <v>0</v>
      </c>
      <c r="H44" s="2" t="s">
        <v>16</v>
      </c>
      <c r="I44" s="2">
        <f>(B44-Summary!B$105)/(Summary!B$106-Summary!B$105)</f>
        <v>0.71052631578947367</v>
      </c>
      <c r="J44" s="2">
        <f>(D44-Summary!C$105)/(Summary!C$106-Summary!C$105)</f>
        <v>0.27225336812795764</v>
      </c>
      <c r="K44" s="2">
        <f>(E44-Summary!D$105)/(Summary!D$106-Summary!D$105)</f>
        <v>7.7881619937694699E-2</v>
      </c>
      <c r="L44" s="2">
        <f>(F44-Summary!E$105)/(Summary!E$106-Summary!E$105)</f>
        <v>0.1</v>
      </c>
      <c r="M44" s="2">
        <f>(G44-Summary!F$105)/(Summary!F$106-Summary!F$105)</f>
        <v>0</v>
      </c>
      <c r="N44" s="2">
        <f>SQRT((I44-Summary!B$109)^2+(J44-Summary!C$109)^2+(K44-Summary!D$109)^2+(L44-Summary!E$109)^2+(M44-Summary!F$109)^2)</f>
        <v>0.856500641057519</v>
      </c>
    </row>
    <row r="45" spans="1:14" x14ac:dyDescent="0.35">
      <c r="A45" s="2" t="s">
        <v>61</v>
      </c>
      <c r="B45" s="2">
        <v>35</v>
      </c>
      <c r="C45" s="2" t="s">
        <v>18</v>
      </c>
      <c r="D45" s="2">
        <v>84182</v>
      </c>
      <c r="E45" s="2">
        <v>735</v>
      </c>
      <c r="F45" s="2">
        <v>10</v>
      </c>
      <c r="G45" s="2">
        <v>0</v>
      </c>
      <c r="H45" s="2" t="s">
        <v>16</v>
      </c>
      <c r="I45" s="2">
        <f>(B45-Summary!B$105)/(Summary!B$106-Summary!B$105)</f>
        <v>0.34210526315789475</v>
      </c>
      <c r="J45" s="2">
        <f>(D45-Summary!C$105)/(Summary!C$106-Summary!C$105)</f>
        <v>0.405736118568093</v>
      </c>
      <c r="K45" s="2">
        <f>(E45-Summary!D$105)/(Summary!D$106-Summary!D$105)</f>
        <v>0.65109034267912769</v>
      </c>
      <c r="L45" s="2">
        <f>(F45-Summary!E$105)/(Summary!E$106-Summary!E$105)</f>
        <v>0.5</v>
      </c>
      <c r="M45" s="2">
        <f>(G45-Summary!F$105)/(Summary!F$106-Summary!F$105)</f>
        <v>0</v>
      </c>
      <c r="N45" s="2">
        <f>SQRT((I45-Summary!B$109)^2+(J45-Summary!C$109)^2+(K45-Summary!D$109)^2+(L45-Summary!E$109)^2+(M45-Summary!F$109)^2)</f>
        <v>0.37895296102889758</v>
      </c>
    </row>
    <row r="46" spans="1:14" x14ac:dyDescent="0.35">
      <c r="A46" s="2" t="s">
        <v>62</v>
      </c>
      <c r="B46" s="2">
        <v>23</v>
      </c>
      <c r="C46" s="2" t="s">
        <v>18</v>
      </c>
      <c r="D46" s="2">
        <v>178812</v>
      </c>
      <c r="E46" s="2">
        <v>728</v>
      </c>
      <c r="F46" s="2">
        <v>10</v>
      </c>
      <c r="G46" s="2">
        <v>3</v>
      </c>
      <c r="H46" s="2" t="s">
        <v>16</v>
      </c>
      <c r="I46" s="2">
        <f>(B46-Summary!B$105)/(Summary!B$106-Summary!B$105)</f>
        <v>2.6315789473684209E-2</v>
      </c>
      <c r="J46" s="2">
        <f>(D46-Summary!C$105)/(Summary!C$106-Summary!C$105)</f>
        <v>0.99651637553222039</v>
      </c>
      <c r="K46" s="2">
        <f>(E46-Summary!D$105)/(Summary!D$106-Summary!D$105)</f>
        <v>0.62928348909657317</v>
      </c>
      <c r="L46" s="2">
        <f>(F46-Summary!E$105)/(Summary!E$106-Summary!E$105)</f>
        <v>0.5</v>
      </c>
      <c r="M46" s="2">
        <f>(G46-Summary!F$105)/(Summary!F$106-Summary!F$105)</f>
        <v>1</v>
      </c>
      <c r="N46" s="2">
        <f>SQRT((I46-Summary!B$109)^2+(J46-Summary!C$109)^2+(K46-Summary!D$109)^2+(L46-Summary!E$109)^2+(M46-Summary!F$109)^2)</f>
        <v>0.97210059006810734</v>
      </c>
    </row>
    <row r="47" spans="1:14" x14ac:dyDescent="0.35">
      <c r="A47" s="2" t="s">
        <v>63</v>
      </c>
      <c r="B47" s="2">
        <v>59</v>
      </c>
      <c r="C47" s="2" t="s">
        <v>15</v>
      </c>
      <c r="D47" s="2">
        <v>156252</v>
      </c>
      <c r="E47" s="2">
        <v>547</v>
      </c>
      <c r="F47" s="2">
        <v>13</v>
      </c>
      <c r="G47" s="2">
        <v>0</v>
      </c>
      <c r="H47" s="2" t="s">
        <v>23</v>
      </c>
      <c r="I47" s="2">
        <f>(B47-Summary!B$105)/(Summary!B$106-Summary!B$105)</f>
        <v>0.97368421052631582</v>
      </c>
      <c r="J47" s="2">
        <f>(D47-Summary!C$105)/(Summary!C$106-Summary!C$105)</f>
        <v>0.85567306371661522</v>
      </c>
      <c r="K47" s="2">
        <f>(E47-Summary!D$105)/(Summary!D$106-Summary!D$105)</f>
        <v>6.5420560747663545E-2</v>
      </c>
      <c r="L47" s="2">
        <f>(F47-Summary!E$105)/(Summary!E$106-Summary!E$105)</f>
        <v>0.65</v>
      </c>
      <c r="M47" s="2">
        <f>(G47-Summary!F$105)/(Summary!F$106-Summary!F$105)</f>
        <v>0</v>
      </c>
      <c r="N47" s="2">
        <f>SQRT((I47-Summary!B$109)^2+(J47-Summary!C$109)^2+(K47-Summary!D$109)^2+(L47-Summary!E$109)^2+(M47-Summary!F$109)^2)</f>
        <v>1.1542530091374796</v>
      </c>
    </row>
    <row r="48" spans="1:14" x14ac:dyDescent="0.35">
      <c r="A48" s="2" t="s">
        <v>64</v>
      </c>
      <c r="B48" s="2">
        <v>38</v>
      </c>
      <c r="C48" s="2" t="s">
        <v>18</v>
      </c>
      <c r="D48" s="2">
        <v>23620</v>
      </c>
      <c r="E48" s="2">
        <v>770</v>
      </c>
      <c r="F48" s="2">
        <v>6</v>
      </c>
      <c r="G48" s="2">
        <v>1</v>
      </c>
      <c r="H48" s="2" t="s">
        <v>16</v>
      </c>
      <c r="I48" s="2">
        <f>(B48-Summary!B$105)/(Summary!B$106-Summary!B$105)</f>
        <v>0.42105263157894735</v>
      </c>
      <c r="J48" s="2">
        <f>(D48-Summary!C$105)/(Summary!C$106-Summary!C$105)</f>
        <v>2.764424577657356E-2</v>
      </c>
      <c r="K48" s="2">
        <f>(E48-Summary!D$105)/(Summary!D$106-Summary!D$105)</f>
        <v>0.76012461059190028</v>
      </c>
      <c r="L48" s="2">
        <f>(F48-Summary!E$105)/(Summary!E$106-Summary!E$105)</f>
        <v>0.3</v>
      </c>
      <c r="M48" s="2">
        <f>(G48-Summary!F$105)/(Summary!F$106-Summary!F$105)</f>
        <v>0.33333333333333331</v>
      </c>
      <c r="N48" s="2">
        <f>SQRT((I48-Summary!B$109)^2+(J48-Summary!C$109)^2+(K48-Summary!D$109)^2+(L48-Summary!E$109)^2+(M48-Summary!F$109)^2)</f>
        <v>0.37139140116733382</v>
      </c>
    </row>
    <row r="49" spans="1:14" x14ac:dyDescent="0.35">
      <c r="A49" s="2" t="s">
        <v>65</v>
      </c>
      <c r="B49" s="2">
        <v>56</v>
      </c>
      <c r="C49" s="2" t="s">
        <v>18</v>
      </c>
      <c r="D49" s="2">
        <v>55898</v>
      </c>
      <c r="E49" s="2">
        <v>657</v>
      </c>
      <c r="F49" s="2">
        <v>20</v>
      </c>
      <c r="G49" s="2">
        <v>2</v>
      </c>
      <c r="H49" s="2" t="s">
        <v>23</v>
      </c>
      <c r="I49" s="2">
        <f>(B49-Summary!B$105)/(Summary!B$106-Summary!B$105)</f>
        <v>0.89473684210526316</v>
      </c>
      <c r="J49" s="2">
        <f>(D49-Summary!C$105)/(Summary!C$106-Summary!C$105)</f>
        <v>0.22915756221203912</v>
      </c>
      <c r="K49" s="2">
        <f>(E49-Summary!D$105)/(Summary!D$106-Summary!D$105)</f>
        <v>0.40809968847352024</v>
      </c>
      <c r="L49" s="2">
        <f>(F49-Summary!E$105)/(Summary!E$106-Summary!E$105)</f>
        <v>1</v>
      </c>
      <c r="M49" s="2">
        <f>(G49-Summary!F$105)/(Summary!F$106-Summary!F$105)</f>
        <v>0.66666666666666663</v>
      </c>
      <c r="N49" s="2">
        <f>SQRT((I49-Summary!B$109)^2+(J49-Summary!C$109)^2+(K49-Summary!D$109)^2+(L49-Summary!E$109)^2+(M49-Summary!F$109)^2)</f>
        <v>1.0083860928441086</v>
      </c>
    </row>
    <row r="50" spans="1:14" x14ac:dyDescent="0.35">
      <c r="A50" s="2" t="s">
        <v>66</v>
      </c>
      <c r="B50" s="2">
        <v>48</v>
      </c>
      <c r="C50" s="2" t="s">
        <v>15</v>
      </c>
      <c r="D50" s="2">
        <v>151112</v>
      </c>
      <c r="E50" s="2">
        <v>780</v>
      </c>
      <c r="F50" s="2">
        <v>10</v>
      </c>
      <c r="G50" s="2">
        <v>2</v>
      </c>
      <c r="H50" s="2" t="s">
        <v>16</v>
      </c>
      <c r="I50" s="2">
        <f>(B50-Summary!B$105)/(Summary!B$106-Summary!B$105)</f>
        <v>0.68421052631578949</v>
      </c>
      <c r="J50" s="2">
        <f>(D50-Summary!C$105)/(Summary!C$106-Summary!C$105)</f>
        <v>0.82358376306359171</v>
      </c>
      <c r="K50" s="2">
        <f>(E50-Summary!D$105)/(Summary!D$106-Summary!D$105)</f>
        <v>0.79127725856697817</v>
      </c>
      <c r="L50" s="2">
        <f>(F50-Summary!E$105)/(Summary!E$106-Summary!E$105)</f>
        <v>0.5</v>
      </c>
      <c r="M50" s="2">
        <f>(G50-Summary!F$105)/(Summary!F$106-Summary!F$105)</f>
        <v>0.66666666666666663</v>
      </c>
      <c r="N50" s="2">
        <f>SQRT((I50-Summary!B$109)^2+(J50-Summary!C$109)^2+(K50-Summary!D$109)^2+(L50-Summary!E$109)^2+(M50-Summary!F$109)^2)</f>
        <v>0.7420903593544127</v>
      </c>
    </row>
    <row r="51" spans="1:14" x14ac:dyDescent="0.35">
      <c r="A51" s="2" t="s">
        <v>67</v>
      </c>
      <c r="B51" s="2">
        <v>52</v>
      </c>
      <c r="C51" s="2" t="s">
        <v>15</v>
      </c>
      <c r="D51" s="2">
        <v>27445</v>
      </c>
      <c r="E51" s="2">
        <v>533</v>
      </c>
      <c r="F51" s="2">
        <v>6</v>
      </c>
      <c r="G51" s="2">
        <v>2</v>
      </c>
      <c r="H51" s="2" t="s">
        <v>23</v>
      </c>
      <c r="I51" s="2">
        <f>(B51-Summary!B$105)/(Summary!B$106-Summary!B$105)</f>
        <v>0.78947368421052633</v>
      </c>
      <c r="J51" s="2">
        <f>(D51-Summary!C$105)/(Summary!C$106-Summary!C$105)</f>
        <v>5.1523929628288528E-2</v>
      </c>
      <c r="K51" s="2">
        <f>(E51-Summary!D$105)/(Summary!D$106-Summary!D$105)</f>
        <v>2.1806853582554516E-2</v>
      </c>
      <c r="L51" s="2">
        <f>(F51-Summary!E$105)/(Summary!E$106-Summary!E$105)</f>
        <v>0.3</v>
      </c>
      <c r="M51" s="2">
        <f>(G51-Summary!F$105)/(Summary!F$106-Summary!F$105)</f>
        <v>0.66666666666666663</v>
      </c>
      <c r="N51" s="2">
        <f>SQRT((I51-Summary!B$109)^2+(J51-Summary!C$109)^2+(K51-Summary!D$109)^2+(L51-Summary!E$109)^2+(M51-Summary!F$109)^2)</f>
        <v>0.95009516066214783</v>
      </c>
    </row>
    <row r="52" spans="1:14" x14ac:dyDescent="0.35">
      <c r="A52" s="2" t="s">
        <v>68</v>
      </c>
      <c r="B52" s="2">
        <v>51</v>
      </c>
      <c r="C52" s="2" t="s">
        <v>18</v>
      </c>
      <c r="D52" s="2">
        <v>156619</v>
      </c>
      <c r="E52" s="2">
        <v>579</v>
      </c>
      <c r="F52" s="2">
        <v>20</v>
      </c>
      <c r="G52" s="2">
        <v>3</v>
      </c>
      <c r="H52" s="2" t="s">
        <v>16</v>
      </c>
      <c r="I52" s="2">
        <f>(B52-Summary!B$105)/(Summary!B$106-Summary!B$105)</f>
        <v>0.76315789473684215</v>
      </c>
      <c r="J52" s="2">
        <f>(D52-Summary!C$105)/(Summary!C$106-Summary!C$105)</f>
        <v>0.8579642647554595</v>
      </c>
      <c r="K52" s="2">
        <f>(E52-Summary!D$105)/(Summary!D$106-Summary!D$105)</f>
        <v>0.16510903426791276</v>
      </c>
      <c r="L52" s="2">
        <f>(F52-Summary!E$105)/(Summary!E$106-Summary!E$105)</f>
        <v>1</v>
      </c>
      <c r="M52" s="2">
        <f>(G52-Summary!F$105)/(Summary!F$106-Summary!F$105)</f>
        <v>1</v>
      </c>
      <c r="N52" s="2">
        <f>SQRT((I52-Summary!B$109)^2+(J52-Summary!C$109)^2+(K52-Summary!D$109)^2+(L52-Summary!E$109)^2+(M52-Summary!F$109)^2)</f>
        <v>1.2784507709467261</v>
      </c>
    </row>
    <row r="53" spans="1:14" x14ac:dyDescent="0.35">
      <c r="A53" s="2" t="s">
        <v>69</v>
      </c>
      <c r="B53" s="2">
        <v>28</v>
      </c>
      <c r="C53" s="2" t="s">
        <v>15</v>
      </c>
      <c r="D53" s="2">
        <v>63584</v>
      </c>
      <c r="E53" s="2">
        <v>683</v>
      </c>
      <c r="F53" s="2">
        <v>19</v>
      </c>
      <c r="G53" s="2">
        <v>1</v>
      </c>
      <c r="H53" s="2" t="s">
        <v>16</v>
      </c>
      <c r="I53" s="2">
        <f>(B53-Summary!B$105)/(Summary!B$106-Summary!B$105)</f>
        <v>0.15789473684210525</v>
      </c>
      <c r="J53" s="2">
        <f>(D53-Summary!C$105)/(Summary!C$106-Summary!C$105)</f>
        <v>0.27714167988113225</v>
      </c>
      <c r="K53" s="2">
        <f>(E53-Summary!D$105)/(Summary!D$106-Summary!D$105)</f>
        <v>0.48909657320872274</v>
      </c>
      <c r="L53" s="2">
        <f>(F53-Summary!E$105)/(Summary!E$106-Summary!E$105)</f>
        <v>0.95</v>
      </c>
      <c r="M53" s="2">
        <f>(G53-Summary!F$105)/(Summary!F$106-Summary!F$105)</f>
        <v>0.33333333333333331</v>
      </c>
      <c r="N53" s="2">
        <f>SQRT((I53-Summary!B$109)^2+(J53-Summary!C$109)^2+(K53-Summary!D$109)^2+(L53-Summary!E$109)^2+(M53-Summary!F$109)^2)</f>
        <v>0.64026753450306351</v>
      </c>
    </row>
    <row r="54" spans="1:14" x14ac:dyDescent="0.35">
      <c r="A54" s="2" t="s">
        <v>70</v>
      </c>
      <c r="B54" s="2">
        <v>35</v>
      </c>
      <c r="C54" s="2" t="s">
        <v>15</v>
      </c>
      <c r="D54" s="2">
        <v>166660</v>
      </c>
      <c r="E54" s="2">
        <v>582</v>
      </c>
      <c r="F54" s="2">
        <v>10</v>
      </c>
      <c r="G54" s="2">
        <v>3</v>
      </c>
      <c r="H54" s="2" t="s">
        <v>23</v>
      </c>
      <c r="I54" s="2">
        <f>(B54-Summary!B$105)/(Summary!B$106-Summary!B$105)</f>
        <v>0.34210526315789475</v>
      </c>
      <c r="J54" s="2">
        <f>(D54-Summary!C$105)/(Summary!C$106-Summary!C$105)</f>
        <v>0.92065077601168699</v>
      </c>
      <c r="K54" s="2">
        <f>(E54-Summary!D$105)/(Summary!D$106-Summary!D$105)</f>
        <v>0.17445482866043613</v>
      </c>
      <c r="L54" s="2">
        <f>(F54-Summary!E$105)/(Summary!E$106-Summary!E$105)</f>
        <v>0.5</v>
      </c>
      <c r="M54" s="2">
        <f>(G54-Summary!F$105)/(Summary!F$106-Summary!F$105)</f>
        <v>1</v>
      </c>
      <c r="N54" s="2">
        <f>SQRT((I54-Summary!B$109)^2+(J54-Summary!C$109)^2+(K54-Summary!D$109)^2+(L54-Summary!E$109)^2+(M54-Summary!F$109)^2)</f>
        <v>1.0242454267801102</v>
      </c>
    </row>
    <row r="55" spans="1:14" x14ac:dyDescent="0.35">
      <c r="A55" s="2" t="s">
        <v>71</v>
      </c>
      <c r="B55" s="2">
        <v>39</v>
      </c>
      <c r="C55" s="2" t="s">
        <v>15</v>
      </c>
      <c r="D55" s="2">
        <v>65562</v>
      </c>
      <c r="E55" s="2">
        <v>629</v>
      </c>
      <c r="F55" s="2">
        <v>0</v>
      </c>
      <c r="G55" s="2">
        <v>1</v>
      </c>
      <c r="H55" s="2" t="s">
        <v>16</v>
      </c>
      <c r="I55" s="2">
        <f>(B55-Summary!B$105)/(Summary!B$106-Summary!B$105)</f>
        <v>0.44736842105263158</v>
      </c>
      <c r="J55" s="2">
        <f>(D55-Summary!C$105)/(Summary!C$106-Summary!C$105)</f>
        <v>0.28949044188340473</v>
      </c>
      <c r="K55" s="2">
        <f>(E55-Summary!D$105)/(Summary!D$106-Summary!D$105)</f>
        <v>0.32087227414330216</v>
      </c>
      <c r="L55" s="2">
        <f>(F55-Summary!E$105)/(Summary!E$106-Summary!E$105)</f>
        <v>0</v>
      </c>
      <c r="M55" s="2">
        <f>(G55-Summary!F$105)/(Summary!F$106-Summary!F$105)</f>
        <v>0.33333333333333331</v>
      </c>
      <c r="N55" s="2">
        <f>SQRT((I55-Summary!B$109)^2+(J55-Summary!C$109)^2+(K55-Summary!D$109)^2+(L55-Summary!E$109)^2+(M55-Summary!F$109)^2)</f>
        <v>0.53275403321889558</v>
      </c>
    </row>
    <row r="56" spans="1:14" x14ac:dyDescent="0.35">
      <c r="A56" s="2" t="s">
        <v>72</v>
      </c>
      <c r="B56" s="2">
        <v>40</v>
      </c>
      <c r="C56" s="2" t="s">
        <v>18</v>
      </c>
      <c r="D56" s="2">
        <v>88359</v>
      </c>
      <c r="E56" s="2">
        <v>738</v>
      </c>
      <c r="F56" s="2">
        <v>12</v>
      </c>
      <c r="G56" s="2">
        <v>3</v>
      </c>
      <c r="H56" s="2" t="s">
        <v>16</v>
      </c>
      <c r="I56" s="2">
        <f>(B56-Summary!B$105)/(Summary!B$106-Summary!B$105)</f>
        <v>0.47368421052631576</v>
      </c>
      <c r="J56" s="2">
        <f>(D56-Summary!C$105)/(Summary!C$106-Summary!C$105)</f>
        <v>0.43181335763962592</v>
      </c>
      <c r="K56" s="2">
        <f>(E56-Summary!D$105)/(Summary!D$106-Summary!D$105)</f>
        <v>0.66043613707165105</v>
      </c>
      <c r="L56" s="2">
        <f>(F56-Summary!E$105)/(Summary!E$106-Summary!E$105)</f>
        <v>0.6</v>
      </c>
      <c r="M56" s="2">
        <f>(G56-Summary!F$105)/(Summary!F$106-Summary!F$105)</f>
        <v>1</v>
      </c>
      <c r="N56" s="2">
        <f>SQRT((I56-Summary!B$109)^2+(J56-Summary!C$109)^2+(K56-Summary!D$109)^2+(L56-Summary!E$109)^2+(M56-Summary!F$109)^2)</f>
        <v>0.74724612630716958</v>
      </c>
    </row>
    <row r="57" spans="1:14" x14ac:dyDescent="0.35">
      <c r="A57" s="2" t="s">
        <v>73</v>
      </c>
      <c r="B57" s="2">
        <v>22</v>
      </c>
      <c r="C57" s="2" t="s">
        <v>18</v>
      </c>
      <c r="D57" s="2">
        <v>125231</v>
      </c>
      <c r="E57" s="2">
        <v>567</v>
      </c>
      <c r="F57" s="2">
        <v>11</v>
      </c>
      <c r="G57" s="2">
        <v>2</v>
      </c>
      <c r="H57" s="2" t="s">
        <v>16</v>
      </c>
      <c r="I57" s="2">
        <f>(B57-Summary!B$105)/(Summary!B$106-Summary!B$105)</f>
        <v>0</v>
      </c>
      <c r="J57" s="2">
        <f>(D57-Summary!C$105)/(Summary!C$106-Summary!C$105)</f>
        <v>0.66200726691555645</v>
      </c>
      <c r="K57" s="2">
        <f>(E57-Summary!D$105)/(Summary!D$106-Summary!D$105)</f>
        <v>0.1277258566978193</v>
      </c>
      <c r="L57" s="2">
        <f>(F57-Summary!E$105)/(Summary!E$106-Summary!E$105)</f>
        <v>0.55000000000000004</v>
      </c>
      <c r="M57" s="2">
        <f>(G57-Summary!F$105)/(Summary!F$106-Summary!F$105)</f>
        <v>0.66666666666666663</v>
      </c>
      <c r="N57" s="2">
        <f>SQRT((I57-Summary!B$109)^2+(J57-Summary!C$109)^2+(K57-Summary!D$109)^2+(L57-Summary!E$109)^2+(M57-Summary!F$109)^2)</f>
        <v>0.78480362143728932</v>
      </c>
    </row>
    <row r="58" spans="1:14" x14ac:dyDescent="0.35">
      <c r="A58" s="2" t="s">
        <v>74</v>
      </c>
      <c r="B58" s="2">
        <v>42</v>
      </c>
      <c r="C58" s="2" t="s">
        <v>15</v>
      </c>
      <c r="D58" s="2">
        <v>38457</v>
      </c>
      <c r="E58" s="2">
        <v>744</v>
      </c>
      <c r="F58" s="2">
        <v>3</v>
      </c>
      <c r="G58" s="2">
        <v>2</v>
      </c>
      <c r="H58" s="2" t="s">
        <v>16</v>
      </c>
      <c r="I58" s="2">
        <f>(B58-Summary!B$105)/(Summary!B$106-Summary!B$105)</f>
        <v>0.52631578947368418</v>
      </c>
      <c r="J58" s="2">
        <f>(D58-Summary!C$105)/(Summary!C$106-Summary!C$105)</f>
        <v>0.12027244690282062</v>
      </c>
      <c r="K58" s="2">
        <f>(E58-Summary!D$105)/(Summary!D$106-Summary!D$105)</f>
        <v>0.67912772585669778</v>
      </c>
      <c r="L58" s="2">
        <f>(F58-Summary!E$105)/(Summary!E$106-Summary!E$105)</f>
        <v>0.15</v>
      </c>
      <c r="M58" s="2">
        <f>(G58-Summary!F$105)/(Summary!F$106-Summary!F$105)</f>
        <v>0.66666666666666663</v>
      </c>
      <c r="N58" s="2">
        <f>SQRT((I58-Summary!B$109)^2+(J58-Summary!C$109)^2+(K58-Summary!D$109)^2+(L58-Summary!E$109)^2+(M58-Summary!F$109)^2)</f>
        <v>0.52196728093160527</v>
      </c>
    </row>
    <row r="59" spans="1:14" x14ac:dyDescent="0.35">
      <c r="A59" s="2" t="s">
        <v>75</v>
      </c>
      <c r="B59" s="2">
        <v>27</v>
      </c>
      <c r="C59" s="2" t="s">
        <v>18</v>
      </c>
      <c r="D59" s="2">
        <v>108239</v>
      </c>
      <c r="E59" s="2">
        <v>554</v>
      </c>
      <c r="F59" s="2">
        <v>13</v>
      </c>
      <c r="G59" s="2">
        <v>3</v>
      </c>
      <c r="H59" s="2" t="s">
        <v>23</v>
      </c>
      <c r="I59" s="2">
        <f>(B59-Summary!B$105)/(Summary!B$106-Summary!B$105)</f>
        <v>0.13157894736842105</v>
      </c>
      <c r="J59" s="2">
        <f>(D59-Summary!C$105)/(Summary!C$106-Summary!C$105)</f>
        <v>0.5559252831225262</v>
      </c>
      <c r="K59" s="2">
        <f>(E59-Summary!D$105)/(Summary!D$106-Summary!D$105)</f>
        <v>8.7227414330218064E-2</v>
      </c>
      <c r="L59" s="2">
        <f>(F59-Summary!E$105)/(Summary!E$106-Summary!E$105)</f>
        <v>0.65</v>
      </c>
      <c r="M59" s="2">
        <f>(G59-Summary!F$105)/(Summary!F$106-Summary!F$105)</f>
        <v>1</v>
      </c>
      <c r="N59" s="2">
        <f>SQRT((I59-Summary!B$109)^2+(J59-Summary!C$109)^2+(K59-Summary!D$109)^2+(L59-Summary!E$109)^2+(M59-Summary!F$109)^2)</f>
        <v>0.96841528158667223</v>
      </c>
    </row>
    <row r="60" spans="1:14" x14ac:dyDescent="0.35">
      <c r="A60" s="2" t="s">
        <v>76</v>
      </c>
      <c r="B60" s="2">
        <v>50</v>
      </c>
      <c r="C60" s="2" t="s">
        <v>15</v>
      </c>
      <c r="D60" s="2">
        <v>99813</v>
      </c>
      <c r="E60" s="2">
        <v>577</v>
      </c>
      <c r="F60" s="2">
        <v>17</v>
      </c>
      <c r="G60" s="2">
        <v>3</v>
      </c>
      <c r="H60" s="2" t="s">
        <v>23</v>
      </c>
      <c r="I60" s="2">
        <f>(B60-Summary!B$105)/(Summary!B$106-Summary!B$105)</f>
        <v>0.73684210526315785</v>
      </c>
      <c r="J60" s="2">
        <f>(D60-Summary!C$105)/(Summary!C$106-Summary!C$105)</f>
        <v>0.50332130504813399</v>
      </c>
      <c r="K60" s="2">
        <f>(E60-Summary!D$105)/(Summary!D$106-Summary!D$105)</f>
        <v>0.15887850467289719</v>
      </c>
      <c r="L60" s="2">
        <f>(F60-Summary!E$105)/(Summary!E$106-Summary!E$105)</f>
        <v>0.85</v>
      </c>
      <c r="M60" s="2">
        <f>(G60-Summary!F$105)/(Summary!F$106-Summary!F$105)</f>
        <v>1</v>
      </c>
      <c r="N60" s="2">
        <f>SQRT((I60-Summary!B$109)^2+(J60-Summary!C$109)^2+(K60-Summary!D$109)^2+(L60-Summary!E$109)^2+(M60-Summary!F$109)^2)</f>
        <v>1.0986506099001909</v>
      </c>
    </row>
    <row r="61" spans="1:14" x14ac:dyDescent="0.35">
      <c r="A61" s="2" t="s">
        <v>77</v>
      </c>
      <c r="B61" s="2">
        <v>48</v>
      </c>
      <c r="C61" s="2" t="s">
        <v>18</v>
      </c>
      <c r="D61" s="2">
        <v>144992</v>
      </c>
      <c r="E61" s="2">
        <v>714</v>
      </c>
      <c r="F61" s="2">
        <v>2</v>
      </c>
      <c r="G61" s="2">
        <v>3</v>
      </c>
      <c r="H61" s="2" t="s">
        <v>16</v>
      </c>
      <c r="I61" s="2">
        <f>(B61-Summary!B$105)/(Summary!B$106-Summary!B$105)</f>
        <v>0.68421052631578949</v>
      </c>
      <c r="J61" s="2">
        <f>(D61-Summary!C$105)/(Summary!C$106-Summary!C$105)</f>
        <v>0.78537626890084777</v>
      </c>
      <c r="K61" s="2">
        <f>(E61-Summary!D$105)/(Summary!D$106-Summary!D$105)</f>
        <v>0.58566978193146413</v>
      </c>
      <c r="L61" s="2">
        <f>(F61-Summary!E$105)/(Summary!E$106-Summary!E$105)</f>
        <v>0.1</v>
      </c>
      <c r="M61" s="2">
        <f>(G61-Summary!F$105)/(Summary!F$106-Summary!F$105)</f>
        <v>1</v>
      </c>
      <c r="N61" s="2">
        <f>SQRT((I61-Summary!B$109)^2+(J61-Summary!C$109)^2+(K61-Summary!D$109)^2+(L61-Summary!E$109)^2+(M61-Summary!F$109)^2)</f>
        <v>0.93956150156186546</v>
      </c>
    </row>
    <row r="62" spans="1:14" x14ac:dyDescent="0.35">
      <c r="A62" s="2" t="s">
        <v>78</v>
      </c>
      <c r="B62" s="2">
        <v>57</v>
      </c>
      <c r="C62" s="2" t="s">
        <v>18</v>
      </c>
      <c r="D62" s="2">
        <v>179370</v>
      </c>
      <c r="E62" s="2">
        <v>782</v>
      </c>
      <c r="F62" s="2">
        <v>15</v>
      </c>
      <c r="G62" s="2">
        <v>2</v>
      </c>
      <c r="H62" s="2" t="s">
        <v>16</v>
      </c>
      <c r="I62" s="2">
        <f>(B62-Summary!B$105)/(Summary!B$106-Summary!B$105)</f>
        <v>0.92105263157894735</v>
      </c>
      <c r="J62" s="2">
        <f>(D62-Summary!C$105)/(Summary!C$106-Summary!C$105)</f>
        <v>1</v>
      </c>
      <c r="K62" s="2">
        <f>(E62-Summary!D$105)/(Summary!D$106-Summary!D$105)</f>
        <v>0.79750778816199375</v>
      </c>
      <c r="L62" s="2">
        <f>(F62-Summary!E$105)/(Summary!E$106-Summary!E$105)</f>
        <v>0.75</v>
      </c>
      <c r="M62" s="2">
        <f>(G62-Summary!F$105)/(Summary!F$106-Summary!F$105)</f>
        <v>0.66666666666666663</v>
      </c>
      <c r="N62" s="2">
        <f>SQRT((I62-Summary!B$109)^2+(J62-Summary!C$109)^2+(K62-Summary!D$109)^2+(L62-Summary!E$109)^2+(M62-Summary!F$109)^2)</f>
        <v>1.069593758121208</v>
      </c>
    </row>
    <row r="63" spans="1:14" x14ac:dyDescent="0.35">
      <c r="A63" s="2" t="s">
        <v>79</v>
      </c>
      <c r="B63" s="2">
        <v>50</v>
      </c>
      <c r="C63" s="2" t="s">
        <v>18</v>
      </c>
      <c r="D63" s="2">
        <v>125619</v>
      </c>
      <c r="E63" s="2">
        <v>576</v>
      </c>
      <c r="F63" s="2">
        <v>2</v>
      </c>
      <c r="G63" s="2">
        <v>0</v>
      </c>
      <c r="H63" s="2" t="s">
        <v>16</v>
      </c>
      <c r="I63" s="2">
        <f>(B63-Summary!B$105)/(Summary!B$106-Summary!B$105)</f>
        <v>0.73684210526315785</v>
      </c>
      <c r="J63" s="2">
        <f>(D63-Summary!C$105)/(Summary!C$106-Summary!C$105)</f>
        <v>0.66442957210103759</v>
      </c>
      <c r="K63" s="2">
        <f>(E63-Summary!D$105)/(Summary!D$106-Summary!D$105)</f>
        <v>0.1557632398753894</v>
      </c>
      <c r="L63" s="2">
        <f>(F63-Summary!E$105)/(Summary!E$106-Summary!E$105)</f>
        <v>0.1</v>
      </c>
      <c r="M63" s="2">
        <f>(G63-Summary!F$105)/(Summary!F$106-Summary!F$105)</f>
        <v>0</v>
      </c>
      <c r="N63" s="2">
        <f>SQRT((I63-Summary!B$109)^2+(J63-Summary!C$109)^2+(K63-Summary!D$109)^2+(L63-Summary!E$109)^2+(M63-Summary!F$109)^2)</f>
        <v>0.87480410943027243</v>
      </c>
    </row>
    <row r="64" spans="1:14" x14ac:dyDescent="0.35">
      <c r="A64" s="2" t="s">
        <v>80</v>
      </c>
      <c r="B64" s="2">
        <v>35</v>
      </c>
      <c r="C64" s="2" t="s">
        <v>15</v>
      </c>
      <c r="D64" s="2">
        <v>84288</v>
      </c>
      <c r="E64" s="2">
        <v>619</v>
      </c>
      <c r="F64" s="2">
        <v>15</v>
      </c>
      <c r="G64" s="2">
        <v>1</v>
      </c>
      <c r="H64" s="2" t="s">
        <v>16</v>
      </c>
      <c r="I64" s="2">
        <f>(B64-Summary!B$105)/(Summary!B$106-Summary!B$105)</f>
        <v>0.34210526315789475</v>
      </c>
      <c r="J64" s="2">
        <f>(D64-Summary!C$105)/(Summary!C$106-Summary!C$105)</f>
        <v>0.40639788235587909</v>
      </c>
      <c r="K64" s="2">
        <f>(E64-Summary!D$105)/(Summary!D$106-Summary!D$105)</f>
        <v>0.28971962616822428</v>
      </c>
      <c r="L64" s="2">
        <f>(F64-Summary!E$105)/(Summary!E$106-Summary!E$105)</f>
        <v>0.75</v>
      </c>
      <c r="M64" s="2">
        <f>(G64-Summary!F$105)/(Summary!F$106-Summary!F$105)</f>
        <v>0.33333333333333331</v>
      </c>
      <c r="N64" s="2">
        <f>SQRT((I64-Summary!B$109)^2+(J64-Summary!C$109)^2+(K64-Summary!D$109)^2+(L64-Summary!E$109)^2+(M64-Summary!F$109)^2)</f>
        <v>0.56251227043168717</v>
      </c>
    </row>
    <row r="65" spans="1:14" x14ac:dyDescent="0.35">
      <c r="A65" s="2" t="s">
        <v>81</v>
      </c>
      <c r="B65" s="2">
        <v>59</v>
      </c>
      <c r="C65" s="2" t="s">
        <v>18</v>
      </c>
      <c r="D65" s="2">
        <v>83835</v>
      </c>
      <c r="E65" s="2">
        <v>826</v>
      </c>
      <c r="F65" s="2">
        <v>8</v>
      </c>
      <c r="G65" s="2">
        <v>0</v>
      </c>
      <c r="H65" s="2" t="s">
        <v>16</v>
      </c>
      <c r="I65" s="2">
        <f>(B65-Summary!B$105)/(Summary!B$106-Summary!B$105)</f>
        <v>0.97368421052631582</v>
      </c>
      <c r="J65" s="2">
        <f>(D65-Summary!C$105)/(Summary!C$106-Summary!C$105)</f>
        <v>0.40356977862128385</v>
      </c>
      <c r="K65" s="2">
        <f>(E65-Summary!D$105)/(Summary!D$106-Summary!D$105)</f>
        <v>0.93457943925233644</v>
      </c>
      <c r="L65" s="2">
        <f>(F65-Summary!E$105)/(Summary!E$106-Summary!E$105)</f>
        <v>0.4</v>
      </c>
      <c r="M65" s="2">
        <f>(G65-Summary!F$105)/(Summary!F$106-Summary!F$105)</f>
        <v>0</v>
      </c>
      <c r="N65" s="2">
        <f>SQRT((I65-Summary!B$109)^2+(J65-Summary!C$109)^2+(K65-Summary!D$109)^2+(L65-Summary!E$109)^2+(M65-Summary!F$109)^2)</f>
        <v>0.83064955921411632</v>
      </c>
    </row>
    <row r="66" spans="1:14" x14ac:dyDescent="0.35">
      <c r="A66" s="2" t="s">
        <v>82</v>
      </c>
      <c r="B66" s="2">
        <v>37</v>
      </c>
      <c r="C66" s="2" t="s">
        <v>15</v>
      </c>
      <c r="D66" s="2">
        <v>85709</v>
      </c>
      <c r="E66" s="2">
        <v>847</v>
      </c>
      <c r="F66" s="2">
        <v>0</v>
      </c>
      <c r="G66" s="2">
        <v>3</v>
      </c>
      <c r="H66" s="2" t="s">
        <v>16</v>
      </c>
      <c r="I66" s="2">
        <f>(B66-Summary!B$105)/(Summary!B$106-Summary!B$105)</f>
        <v>0.39473684210526316</v>
      </c>
      <c r="J66" s="2">
        <f>(D66-Summary!C$105)/(Summary!C$106-Summary!C$105)</f>
        <v>0.41526926294497374</v>
      </c>
      <c r="K66" s="2">
        <f>(E66-Summary!D$105)/(Summary!D$106-Summary!D$105)</f>
        <v>1</v>
      </c>
      <c r="L66" s="2">
        <f>(F66-Summary!E$105)/(Summary!E$106-Summary!E$105)</f>
        <v>0</v>
      </c>
      <c r="M66" s="2">
        <f>(G66-Summary!F$105)/(Summary!F$106-Summary!F$105)</f>
        <v>1</v>
      </c>
      <c r="N66" s="2">
        <f>SQRT((I66-Summary!B$109)^2+(J66-Summary!C$109)^2+(K66-Summary!D$109)^2+(L66-Summary!E$109)^2+(M66-Summary!F$109)^2)</f>
        <v>0.83410044319976429</v>
      </c>
    </row>
    <row r="67" spans="1:14" x14ac:dyDescent="0.35">
      <c r="A67" s="2" t="s">
        <v>83</v>
      </c>
      <c r="B67" s="2">
        <v>34</v>
      </c>
      <c r="C67" s="2" t="s">
        <v>18</v>
      </c>
      <c r="D67" s="2">
        <v>149872</v>
      </c>
      <c r="E67" s="2">
        <v>712</v>
      </c>
      <c r="F67" s="2">
        <v>20</v>
      </c>
      <c r="G67" s="2">
        <v>0</v>
      </c>
      <c r="H67" s="2" t="s">
        <v>16</v>
      </c>
      <c r="I67" s="2">
        <f>(B67-Summary!B$105)/(Summary!B$106-Summary!B$105)</f>
        <v>0.31578947368421051</v>
      </c>
      <c r="J67" s="2">
        <f>(D67-Summary!C$105)/(Summary!C$106-Summary!C$105)</f>
        <v>0.81584237535741488</v>
      </c>
      <c r="K67" s="2">
        <f>(E67-Summary!D$105)/(Summary!D$106-Summary!D$105)</f>
        <v>0.57943925233644855</v>
      </c>
      <c r="L67" s="2">
        <f>(F67-Summary!E$105)/(Summary!E$106-Summary!E$105)</f>
        <v>1</v>
      </c>
      <c r="M67" s="2">
        <f>(G67-Summary!F$105)/(Summary!F$106-Summary!F$105)</f>
        <v>0</v>
      </c>
      <c r="N67" s="2">
        <f>SQRT((I67-Summary!B$109)^2+(J67-Summary!C$109)^2+(K67-Summary!D$109)^2+(L67-Summary!E$109)^2+(M67-Summary!F$109)^2)</f>
        <v>0.87384573671325216</v>
      </c>
    </row>
    <row r="68" spans="1:14" x14ac:dyDescent="0.35">
      <c r="A68" s="2" t="s">
        <v>84</v>
      </c>
      <c r="B68" s="2">
        <v>57</v>
      </c>
      <c r="C68" s="2" t="s">
        <v>15</v>
      </c>
      <c r="D68" s="2">
        <v>70037</v>
      </c>
      <c r="E68" s="2">
        <v>667</v>
      </c>
      <c r="F68" s="2">
        <v>3</v>
      </c>
      <c r="G68" s="2">
        <v>0</v>
      </c>
      <c r="H68" s="2" t="s">
        <v>16</v>
      </c>
      <c r="I68" s="2">
        <f>(B68-Summary!B$105)/(Summary!B$106-Summary!B$105)</f>
        <v>0.92105263157894735</v>
      </c>
      <c r="J68" s="2">
        <f>(D68-Summary!C$105)/(Summary!C$106-Summary!C$105)</f>
        <v>0.3174281112262608</v>
      </c>
      <c r="K68" s="2">
        <f>(E68-Summary!D$105)/(Summary!D$106-Summary!D$105)</f>
        <v>0.43925233644859812</v>
      </c>
      <c r="L68" s="2">
        <f>(F68-Summary!E$105)/(Summary!E$106-Summary!E$105)</f>
        <v>0.15</v>
      </c>
      <c r="M68" s="2">
        <f>(G68-Summary!F$105)/(Summary!F$106-Summary!F$105)</f>
        <v>0</v>
      </c>
      <c r="N68" s="2">
        <f>SQRT((I68-Summary!B$109)^2+(J68-Summary!C$109)^2+(K68-Summary!D$109)^2+(L68-Summary!E$109)^2+(M68-Summary!F$109)^2)</f>
        <v>0.79967902435860883</v>
      </c>
    </row>
    <row r="69" spans="1:14" x14ac:dyDescent="0.35">
      <c r="A69" s="2" t="s">
        <v>85</v>
      </c>
      <c r="B69" s="2">
        <v>35</v>
      </c>
      <c r="C69" s="2" t="s">
        <v>15</v>
      </c>
      <c r="D69" s="2">
        <v>45049</v>
      </c>
      <c r="E69" s="2">
        <v>634</v>
      </c>
      <c r="F69" s="2">
        <v>12</v>
      </c>
      <c r="G69" s="2">
        <v>0</v>
      </c>
      <c r="H69" s="2" t="s">
        <v>16</v>
      </c>
      <c r="I69" s="2">
        <f>(B69-Summary!B$105)/(Summary!B$106-Summary!B$105)</f>
        <v>0.34210526315789475</v>
      </c>
      <c r="J69" s="2">
        <f>(D69-Summary!C$105)/(Summary!C$106-Summary!C$105)</f>
        <v>0.16142666283759319</v>
      </c>
      <c r="K69" s="2">
        <f>(E69-Summary!D$105)/(Summary!D$106-Summary!D$105)</f>
        <v>0.3364485981308411</v>
      </c>
      <c r="L69" s="2">
        <f>(F69-Summary!E$105)/(Summary!E$106-Summary!E$105)</f>
        <v>0.6</v>
      </c>
      <c r="M69" s="2">
        <f>(G69-Summary!F$105)/(Summary!F$106-Summary!F$105)</f>
        <v>0</v>
      </c>
      <c r="N69" s="2">
        <f>SQRT((I69-Summary!B$109)^2+(J69-Summary!C$109)^2+(K69-Summary!D$109)^2+(L69-Summary!E$109)^2+(M69-Summary!F$109)^2)</f>
        <v>0.57271731237380408</v>
      </c>
    </row>
    <row r="70" spans="1:14" x14ac:dyDescent="0.35">
      <c r="A70" s="2" t="s">
        <v>86</v>
      </c>
      <c r="B70" s="2">
        <v>24</v>
      </c>
      <c r="C70" s="2" t="s">
        <v>15</v>
      </c>
      <c r="D70" s="2">
        <v>72155</v>
      </c>
      <c r="E70" s="2">
        <v>722</v>
      </c>
      <c r="F70" s="2">
        <v>3</v>
      </c>
      <c r="G70" s="2">
        <v>2</v>
      </c>
      <c r="H70" s="2" t="s">
        <v>16</v>
      </c>
      <c r="I70" s="2">
        <f>(B70-Summary!B$105)/(Summary!B$106-Summary!B$105)</f>
        <v>5.2631578947368418E-2</v>
      </c>
      <c r="J70" s="2">
        <f>(D70-Summary!C$105)/(Summary!C$106-Summary!C$105)</f>
        <v>0.33065090087277904</v>
      </c>
      <c r="K70" s="2">
        <f>(E70-Summary!D$105)/(Summary!D$106-Summary!D$105)</f>
        <v>0.61059190031152644</v>
      </c>
      <c r="L70" s="2">
        <f>(F70-Summary!E$105)/(Summary!E$106-Summary!E$105)</f>
        <v>0.15</v>
      </c>
      <c r="M70" s="2">
        <f>(G70-Summary!F$105)/(Summary!F$106-Summary!F$105)</f>
        <v>0.66666666666666663</v>
      </c>
      <c r="N70" s="2">
        <f>SQRT((I70-Summary!B$109)^2+(J70-Summary!C$109)^2+(K70-Summary!D$109)^2+(L70-Summary!E$109)^2+(M70-Summary!F$109)^2)</f>
        <v>0.44679957608933063</v>
      </c>
    </row>
    <row r="71" spans="1:14" x14ac:dyDescent="0.35">
      <c r="A71" s="2" t="s">
        <v>87</v>
      </c>
      <c r="B71" s="2">
        <v>39</v>
      </c>
      <c r="C71" s="2" t="s">
        <v>18</v>
      </c>
      <c r="D71" s="2">
        <v>21679</v>
      </c>
      <c r="E71" s="2">
        <v>715</v>
      </c>
      <c r="F71" s="2">
        <v>19</v>
      </c>
      <c r="G71" s="2">
        <v>2</v>
      </c>
      <c r="H71" s="2" t="s">
        <v>16</v>
      </c>
      <c r="I71" s="2">
        <f>(B71-Summary!B$105)/(Summary!B$106-Summary!B$105)</f>
        <v>0.44736842105263158</v>
      </c>
      <c r="J71" s="2">
        <f>(D71-Summary!C$105)/(Summary!C$106-Summary!C$105)</f>
        <v>1.5526476794566046E-2</v>
      </c>
      <c r="K71" s="2">
        <f>(E71-Summary!D$105)/(Summary!D$106-Summary!D$105)</f>
        <v>0.58878504672897192</v>
      </c>
      <c r="L71" s="2">
        <f>(F71-Summary!E$105)/(Summary!E$106-Summary!E$105)</f>
        <v>0.95</v>
      </c>
      <c r="M71" s="2">
        <f>(G71-Summary!F$105)/(Summary!F$106-Summary!F$105)</f>
        <v>0.66666666666666663</v>
      </c>
      <c r="N71" s="2">
        <f>SQRT((I71-Summary!B$109)^2+(J71-Summary!C$109)^2+(K71-Summary!D$109)^2+(L71-Summary!E$109)^2+(M71-Summary!F$109)^2)</f>
        <v>0.78926073944865771</v>
      </c>
    </row>
    <row r="72" spans="1:14" x14ac:dyDescent="0.35">
      <c r="A72" s="2" t="s">
        <v>88</v>
      </c>
      <c r="B72" s="2">
        <v>52</v>
      </c>
      <c r="C72" s="2" t="s">
        <v>15</v>
      </c>
      <c r="D72" s="2">
        <v>35195</v>
      </c>
      <c r="E72" s="2">
        <v>617</v>
      </c>
      <c r="F72" s="2">
        <v>15</v>
      </c>
      <c r="G72" s="2">
        <v>3</v>
      </c>
      <c r="H72" s="2" t="s">
        <v>23</v>
      </c>
      <c r="I72" s="2">
        <f>(B72-Summary!B$105)/(Summary!B$106-Summary!B$105)</f>
        <v>0.78947368421052633</v>
      </c>
      <c r="J72" s="2">
        <f>(D72-Summary!C$105)/(Summary!C$106-Summary!C$105)</f>
        <v>9.9907602791894021E-2</v>
      </c>
      <c r="K72" s="2">
        <f>(E72-Summary!D$105)/(Summary!D$106-Summary!D$105)</f>
        <v>0.2834890965732087</v>
      </c>
      <c r="L72" s="2">
        <f>(F72-Summary!E$105)/(Summary!E$106-Summary!E$105)</f>
        <v>0.75</v>
      </c>
      <c r="M72" s="2">
        <f>(G72-Summary!F$105)/(Summary!F$106-Summary!F$105)</f>
        <v>1</v>
      </c>
      <c r="N72" s="2">
        <f>SQRT((I72-Summary!B$109)^2+(J72-Summary!C$109)^2+(K72-Summary!D$109)^2+(L72-Summary!E$109)^2+(M72-Summary!F$109)^2)</f>
        <v>1.0463489153555998</v>
      </c>
    </row>
    <row r="73" spans="1:14" x14ac:dyDescent="0.35">
      <c r="A73" s="2" t="s">
        <v>89</v>
      </c>
      <c r="B73" s="2">
        <v>28</v>
      </c>
      <c r="C73" s="2" t="s">
        <v>18</v>
      </c>
      <c r="D73" s="2">
        <v>32587</v>
      </c>
      <c r="E73" s="2">
        <v>527</v>
      </c>
      <c r="F73" s="2">
        <v>16</v>
      </c>
      <c r="G73" s="2">
        <v>1</v>
      </c>
      <c r="H73" s="2" t="s">
        <v>23</v>
      </c>
      <c r="I73" s="2">
        <f>(B73-Summary!B$105)/(Summary!B$106-Summary!B$105)</f>
        <v>0.15789473684210525</v>
      </c>
      <c r="J73" s="2">
        <f>(D73-Summary!C$105)/(Summary!C$106-Summary!C$105)</f>
        <v>8.3625716390515553E-2</v>
      </c>
      <c r="K73" s="2">
        <f>(E73-Summary!D$105)/(Summary!D$106-Summary!D$105)</f>
        <v>3.1152647975077881E-3</v>
      </c>
      <c r="L73" s="2">
        <f>(F73-Summary!E$105)/(Summary!E$106-Summary!E$105)</f>
        <v>0.8</v>
      </c>
      <c r="M73" s="2">
        <f>(G73-Summary!F$105)/(Summary!F$106-Summary!F$105)</f>
        <v>0.33333333333333331</v>
      </c>
      <c r="N73" s="2">
        <f>SQRT((I73-Summary!B$109)^2+(J73-Summary!C$109)^2+(K73-Summary!D$109)^2+(L73-Summary!E$109)^2+(M73-Summary!F$109)^2)</f>
        <v>0.85574537760384062</v>
      </c>
    </row>
    <row r="74" spans="1:14" x14ac:dyDescent="0.35">
      <c r="A74" s="2" t="s">
        <v>90</v>
      </c>
      <c r="B74" s="2">
        <v>39</v>
      </c>
      <c r="C74" s="2" t="s">
        <v>15</v>
      </c>
      <c r="D74" s="2">
        <v>142992</v>
      </c>
      <c r="E74" s="2">
        <v>570</v>
      </c>
      <c r="F74" s="2">
        <v>9</v>
      </c>
      <c r="G74" s="2">
        <v>1</v>
      </c>
      <c r="H74" s="2" t="s">
        <v>23</v>
      </c>
      <c r="I74" s="2">
        <f>(B74-Summary!B$105)/(Summary!B$106-Summary!B$105)</f>
        <v>0.44736842105263158</v>
      </c>
      <c r="J74" s="2">
        <f>(D74-Summary!C$105)/(Summary!C$106-Summary!C$105)</f>
        <v>0.77289015969733676</v>
      </c>
      <c r="K74" s="2">
        <f>(E74-Summary!D$105)/(Summary!D$106-Summary!D$105)</f>
        <v>0.13707165109034267</v>
      </c>
      <c r="L74" s="2">
        <f>(F74-Summary!E$105)/(Summary!E$106-Summary!E$105)</f>
        <v>0.45</v>
      </c>
      <c r="M74" s="2">
        <f>(G74-Summary!F$105)/(Summary!F$106-Summary!F$105)</f>
        <v>0.33333333333333331</v>
      </c>
      <c r="N74" s="2">
        <f>SQRT((I74-Summary!B$109)^2+(J74-Summary!C$109)^2+(K74-Summary!D$109)^2+(L74-Summary!E$109)^2+(M74-Summary!F$109)^2)</f>
        <v>0.71499923692241796</v>
      </c>
    </row>
    <row r="75" spans="1:14" x14ac:dyDescent="0.35">
      <c r="A75" s="2" t="s">
        <v>91</v>
      </c>
      <c r="B75" s="2">
        <v>26</v>
      </c>
      <c r="C75" s="2" t="s">
        <v>15</v>
      </c>
      <c r="D75" s="2">
        <v>135022</v>
      </c>
      <c r="E75" s="2">
        <v>837</v>
      </c>
      <c r="F75" s="2">
        <v>9</v>
      </c>
      <c r="G75" s="2">
        <v>0</v>
      </c>
      <c r="H75" s="2" t="s">
        <v>16</v>
      </c>
      <c r="I75" s="2">
        <f>(B75-Summary!B$105)/(Summary!B$106-Summary!B$105)</f>
        <v>0.10526315789473684</v>
      </c>
      <c r="J75" s="2">
        <f>(D75-Summary!C$105)/(Summary!C$106-Summary!C$105)</f>
        <v>0.72313301452134504</v>
      </c>
      <c r="K75" s="2">
        <f>(E75-Summary!D$105)/(Summary!D$106-Summary!D$105)</f>
        <v>0.96884735202492211</v>
      </c>
      <c r="L75" s="2">
        <f>(F75-Summary!E$105)/(Summary!E$106-Summary!E$105)</f>
        <v>0.45</v>
      </c>
      <c r="M75" s="2">
        <f>(G75-Summary!F$105)/(Summary!F$106-Summary!F$105)</f>
        <v>0</v>
      </c>
      <c r="N75" s="2">
        <f>SQRT((I75-Summary!B$109)^2+(J75-Summary!C$109)^2+(K75-Summary!D$109)^2+(L75-Summary!E$109)^2+(M75-Summary!F$109)^2)</f>
        <v>0.61159128448752453</v>
      </c>
    </row>
    <row r="76" spans="1:14" x14ac:dyDescent="0.35">
      <c r="A76" s="2" t="s">
        <v>92</v>
      </c>
      <c r="B76" s="2">
        <v>48</v>
      </c>
      <c r="C76" s="2" t="s">
        <v>18</v>
      </c>
      <c r="D76" s="2">
        <v>130877</v>
      </c>
      <c r="E76" s="2">
        <v>658</v>
      </c>
      <c r="F76" s="2">
        <v>13</v>
      </c>
      <c r="G76" s="2">
        <v>0</v>
      </c>
      <c r="H76" s="2" t="s">
        <v>16</v>
      </c>
      <c r="I76" s="2">
        <f>(B76-Summary!B$105)/(Summary!B$106-Summary!B$105)</f>
        <v>0.68421052631578949</v>
      </c>
      <c r="J76" s="2">
        <f>(D76-Summary!C$105)/(Summary!C$106-Summary!C$105)</f>
        <v>0.69725555319706822</v>
      </c>
      <c r="K76" s="2">
        <f>(E76-Summary!D$105)/(Summary!D$106-Summary!D$105)</f>
        <v>0.41121495327102803</v>
      </c>
      <c r="L76" s="2">
        <f>(F76-Summary!E$105)/(Summary!E$106-Summary!E$105)</f>
        <v>0.65</v>
      </c>
      <c r="M76" s="2">
        <f>(G76-Summary!F$105)/(Summary!F$106-Summary!F$105)</f>
        <v>0</v>
      </c>
      <c r="N76" s="2">
        <f>SQRT((I76-Summary!B$109)^2+(J76-Summary!C$109)^2+(K76-Summary!D$109)^2+(L76-Summary!E$109)^2+(M76-Summary!F$109)^2)</f>
        <v>0.7540328756951471</v>
      </c>
    </row>
    <row r="77" spans="1:14" x14ac:dyDescent="0.35">
      <c r="A77" s="2" t="s">
        <v>93</v>
      </c>
      <c r="B77" s="2">
        <v>40</v>
      </c>
      <c r="C77" s="2" t="s">
        <v>15</v>
      </c>
      <c r="D77" s="2">
        <v>92824</v>
      </c>
      <c r="E77" s="2">
        <v>679</v>
      </c>
      <c r="F77" s="2">
        <v>16</v>
      </c>
      <c r="G77" s="2">
        <v>1</v>
      </c>
      <c r="H77" s="2" t="s">
        <v>16</v>
      </c>
      <c r="I77" s="2">
        <f>(B77-Summary!B$105)/(Summary!B$106-Summary!B$105)</f>
        <v>0.47368421052631576</v>
      </c>
      <c r="J77" s="2">
        <f>(D77-Summary!C$105)/(Summary!C$106-Summary!C$105)</f>
        <v>0.45968859643646443</v>
      </c>
      <c r="K77" s="2">
        <f>(E77-Summary!D$105)/(Summary!D$106-Summary!D$105)</f>
        <v>0.47663551401869159</v>
      </c>
      <c r="L77" s="2">
        <f>(F77-Summary!E$105)/(Summary!E$106-Summary!E$105)</f>
        <v>0.8</v>
      </c>
      <c r="M77" s="2">
        <f>(G77-Summary!F$105)/(Summary!F$106-Summary!F$105)</f>
        <v>0.33333333333333331</v>
      </c>
      <c r="N77" s="2">
        <f>SQRT((I77-Summary!B$109)^2+(J77-Summary!C$109)^2+(K77-Summary!D$109)^2+(L77-Summary!E$109)^2+(M77-Summary!F$109)^2)</f>
        <v>0.54563941518669423</v>
      </c>
    </row>
    <row r="78" spans="1:14" x14ac:dyDescent="0.35">
      <c r="A78" s="2" t="s">
        <v>94</v>
      </c>
      <c r="B78" s="2">
        <v>34</v>
      </c>
      <c r="C78" s="2" t="s">
        <v>18</v>
      </c>
      <c r="D78" s="2">
        <v>134164</v>
      </c>
      <c r="E78" s="2">
        <v>674</v>
      </c>
      <c r="F78" s="2">
        <v>17</v>
      </c>
      <c r="G78" s="2">
        <v>3</v>
      </c>
      <c r="H78" s="2" t="s">
        <v>16</v>
      </c>
      <c r="I78" s="2">
        <f>(B78-Summary!B$105)/(Summary!B$106-Summary!B$105)</f>
        <v>0.31578947368421051</v>
      </c>
      <c r="J78" s="2">
        <f>(D78-Summary!C$105)/(Summary!C$106-Summary!C$105)</f>
        <v>0.71777647367303876</v>
      </c>
      <c r="K78" s="2">
        <f>(E78-Summary!D$105)/(Summary!D$106-Summary!D$105)</f>
        <v>0.46105919003115264</v>
      </c>
      <c r="L78" s="2">
        <f>(F78-Summary!E$105)/(Summary!E$106-Summary!E$105)</f>
        <v>0.85</v>
      </c>
      <c r="M78" s="2">
        <f>(G78-Summary!F$105)/(Summary!F$106-Summary!F$105)</f>
        <v>1</v>
      </c>
      <c r="N78" s="2">
        <f>SQRT((I78-Summary!B$109)^2+(J78-Summary!C$109)^2+(K78-Summary!D$109)^2+(L78-Summary!E$109)^2+(M78-Summary!F$109)^2)</f>
        <v>0.93729381404173351</v>
      </c>
    </row>
    <row r="79" spans="1:14" x14ac:dyDescent="0.35">
      <c r="A79" s="2" t="s">
        <v>95</v>
      </c>
      <c r="B79" s="2">
        <v>30</v>
      </c>
      <c r="C79" s="2" t="s">
        <v>18</v>
      </c>
      <c r="D79" s="2">
        <v>44126</v>
      </c>
      <c r="E79" s="2">
        <v>779</v>
      </c>
      <c r="F79" s="2">
        <v>0</v>
      </c>
      <c r="G79" s="2">
        <v>2</v>
      </c>
      <c r="H79" s="2" t="s">
        <v>16</v>
      </c>
      <c r="I79" s="2">
        <f>(B79-Summary!B$105)/(Summary!B$106-Summary!B$105)</f>
        <v>0.21052631578947367</v>
      </c>
      <c r="J79" s="2">
        <f>(D79-Summary!C$105)/(Summary!C$106-Summary!C$105)</f>
        <v>0.15566432344017281</v>
      </c>
      <c r="K79" s="2">
        <f>(E79-Summary!D$105)/(Summary!D$106-Summary!D$105)</f>
        <v>0.78816199376947038</v>
      </c>
      <c r="L79" s="2">
        <f>(F79-Summary!E$105)/(Summary!E$106-Summary!E$105)</f>
        <v>0</v>
      </c>
      <c r="M79" s="2">
        <f>(G79-Summary!F$105)/(Summary!F$106-Summary!F$105)</f>
        <v>0.66666666666666663</v>
      </c>
      <c r="N79" s="2">
        <f>SQRT((I79-Summary!B$109)^2+(J79-Summary!C$109)^2+(K79-Summary!D$109)^2+(L79-Summary!E$109)^2+(M79-Summary!F$109)^2)</f>
        <v>0.53555483882508026</v>
      </c>
    </row>
    <row r="80" spans="1:14" x14ac:dyDescent="0.35">
      <c r="A80" s="2" t="s">
        <v>96</v>
      </c>
      <c r="B80" s="2">
        <v>43</v>
      </c>
      <c r="C80" s="2" t="s">
        <v>15</v>
      </c>
      <c r="D80" s="2">
        <v>163901</v>
      </c>
      <c r="E80" s="2">
        <v>541</v>
      </c>
      <c r="F80" s="2">
        <v>13</v>
      </c>
      <c r="G80" s="2">
        <v>3</v>
      </c>
      <c r="H80" s="2" t="s">
        <v>23</v>
      </c>
      <c r="I80" s="2">
        <f>(B80-Summary!B$105)/(Summary!B$106-Summary!B$105)</f>
        <v>0.55263157894736847</v>
      </c>
      <c r="J80" s="2">
        <f>(D80-Summary!C$105)/(Summary!C$106-Summary!C$105)</f>
        <v>0.90342618836544342</v>
      </c>
      <c r="K80" s="2">
        <f>(E80-Summary!D$105)/(Summary!D$106-Summary!D$105)</f>
        <v>4.6728971962616821E-2</v>
      </c>
      <c r="L80" s="2">
        <f>(F80-Summary!E$105)/(Summary!E$106-Summary!E$105)</f>
        <v>0.65</v>
      </c>
      <c r="M80" s="2">
        <f>(G80-Summary!F$105)/(Summary!F$106-Summary!F$105)</f>
        <v>1</v>
      </c>
      <c r="N80" s="2">
        <f>SQRT((I80-Summary!B$109)^2+(J80-Summary!C$109)^2+(K80-Summary!D$109)^2+(L80-Summary!E$109)^2+(M80-Summary!F$109)^2)</f>
        <v>1.1482013840978897</v>
      </c>
    </row>
    <row r="81" spans="1:14" x14ac:dyDescent="0.35">
      <c r="A81" s="2" t="s">
        <v>97</v>
      </c>
      <c r="B81" s="2">
        <v>47</v>
      </c>
      <c r="C81" s="2" t="s">
        <v>15</v>
      </c>
      <c r="D81" s="2">
        <v>99169</v>
      </c>
      <c r="E81" s="2">
        <v>547</v>
      </c>
      <c r="F81" s="2">
        <v>2</v>
      </c>
      <c r="G81" s="2">
        <v>0</v>
      </c>
      <c r="H81" s="2" t="s">
        <v>23</v>
      </c>
      <c r="I81" s="2">
        <f>(B81-Summary!B$105)/(Summary!B$106-Summary!B$105)</f>
        <v>0.65789473684210531</v>
      </c>
      <c r="J81" s="2">
        <f>(D81-Summary!C$105)/(Summary!C$106-Summary!C$105)</f>
        <v>0.49930077788460336</v>
      </c>
      <c r="K81" s="2">
        <f>(E81-Summary!D$105)/(Summary!D$106-Summary!D$105)</f>
        <v>6.5420560747663545E-2</v>
      </c>
      <c r="L81" s="2">
        <f>(F81-Summary!E$105)/(Summary!E$106-Summary!E$105)</f>
        <v>0.1</v>
      </c>
      <c r="M81" s="2">
        <f>(G81-Summary!F$105)/(Summary!F$106-Summary!F$105)</f>
        <v>0</v>
      </c>
      <c r="N81" s="2">
        <f>SQRT((I81-Summary!B$109)^2+(J81-Summary!C$109)^2+(K81-Summary!D$109)^2+(L81-Summary!E$109)^2+(M81-Summary!F$109)^2)</f>
        <v>0.84924875834681246</v>
      </c>
    </row>
    <row r="82" spans="1:14" x14ac:dyDescent="0.35">
      <c r="A82" s="2" t="s">
        <v>98</v>
      </c>
      <c r="B82" s="2">
        <v>58</v>
      </c>
      <c r="C82" s="2" t="s">
        <v>15</v>
      </c>
      <c r="D82" s="2">
        <v>169965</v>
      </c>
      <c r="E82" s="2">
        <v>611</v>
      </c>
      <c r="F82" s="2">
        <v>6</v>
      </c>
      <c r="G82" s="2">
        <v>0</v>
      </c>
      <c r="H82" s="2" t="s">
        <v>16</v>
      </c>
      <c r="I82" s="2">
        <f>(B82-Summary!B$105)/(Summary!B$106-Summary!B$105)</f>
        <v>0.94736842105263153</v>
      </c>
      <c r="J82" s="2">
        <f>(D82-Summary!C$105)/(Summary!C$106-Summary!C$105)</f>
        <v>0.94128407147048909</v>
      </c>
      <c r="K82" s="2">
        <f>(E82-Summary!D$105)/(Summary!D$106-Summary!D$105)</f>
        <v>0.26479750778816197</v>
      </c>
      <c r="L82" s="2">
        <f>(F82-Summary!E$105)/(Summary!E$106-Summary!E$105)</f>
        <v>0.3</v>
      </c>
      <c r="M82" s="2">
        <f>(G82-Summary!F$105)/(Summary!F$106-Summary!F$105)</f>
        <v>0</v>
      </c>
      <c r="N82" s="2">
        <f>SQRT((I82-Summary!B$109)^2+(J82-Summary!C$109)^2+(K82-Summary!D$109)^2+(L82-Summary!E$109)^2+(M82-Summary!F$109)^2)</f>
        <v>1.0487122295529219</v>
      </c>
    </row>
    <row r="83" spans="1:14" x14ac:dyDescent="0.35">
      <c r="A83" s="2" t="s">
        <v>99</v>
      </c>
      <c r="B83" s="2">
        <v>38</v>
      </c>
      <c r="C83" s="2" t="s">
        <v>18</v>
      </c>
      <c r="D83" s="2">
        <v>42674</v>
      </c>
      <c r="E83" s="2">
        <v>681</v>
      </c>
      <c r="F83" s="2">
        <v>17</v>
      </c>
      <c r="G83" s="2">
        <v>3</v>
      </c>
      <c r="H83" s="2" t="s">
        <v>16</v>
      </c>
      <c r="I83" s="2">
        <f>(B83-Summary!B$105)/(Summary!B$106-Summary!B$105)</f>
        <v>0.42105263157894735</v>
      </c>
      <c r="J83" s="2">
        <f>(D83-Summary!C$105)/(Summary!C$106-Summary!C$105)</f>
        <v>0.14659940815842376</v>
      </c>
      <c r="K83" s="2">
        <f>(E83-Summary!D$105)/(Summary!D$106-Summary!D$105)</f>
        <v>0.48286604361370716</v>
      </c>
      <c r="L83" s="2">
        <f>(F83-Summary!E$105)/(Summary!E$106-Summary!E$105)</f>
        <v>0.85</v>
      </c>
      <c r="M83" s="2">
        <f>(G83-Summary!F$105)/(Summary!F$106-Summary!F$105)</f>
        <v>1</v>
      </c>
      <c r="N83" s="2">
        <f>SQRT((I83-Summary!B$109)^2+(J83-Summary!C$109)^2+(K83-Summary!D$109)^2+(L83-Summary!E$109)^2+(M83-Summary!F$109)^2)</f>
        <v>0.89230908965094757</v>
      </c>
    </row>
    <row r="84" spans="1:14" x14ac:dyDescent="0.35">
      <c r="A84" s="2" t="s">
        <v>100</v>
      </c>
      <c r="B84" s="2">
        <v>27</v>
      </c>
      <c r="C84" s="2" t="s">
        <v>18</v>
      </c>
      <c r="D84" s="2">
        <v>98567</v>
      </c>
      <c r="E84" s="2">
        <v>742</v>
      </c>
      <c r="F84" s="2">
        <v>5</v>
      </c>
      <c r="G84" s="2">
        <v>0</v>
      </c>
      <c r="H84" s="2" t="s">
        <v>16</v>
      </c>
      <c r="I84" s="2">
        <f>(B84-Summary!B$105)/(Summary!B$106-Summary!B$105)</f>
        <v>0.13157894736842105</v>
      </c>
      <c r="J84" s="2">
        <f>(D84-Summary!C$105)/(Summary!C$106-Summary!C$105)</f>
        <v>0.49554245901434651</v>
      </c>
      <c r="K84" s="2">
        <f>(E84-Summary!D$105)/(Summary!D$106-Summary!D$105)</f>
        <v>0.67289719626168221</v>
      </c>
      <c r="L84" s="2">
        <f>(F84-Summary!E$105)/(Summary!E$106-Summary!E$105)</f>
        <v>0.25</v>
      </c>
      <c r="M84" s="2">
        <f>(G84-Summary!F$105)/(Summary!F$106-Summary!F$105)</f>
        <v>0</v>
      </c>
      <c r="N84" s="2">
        <f>SQRT((I84-Summary!B$109)^2+(J84-Summary!C$109)^2+(K84-Summary!D$109)^2+(L84-Summary!E$109)^2+(M84-Summary!F$109)^2)</f>
        <v>0.40008922423929355</v>
      </c>
    </row>
    <row r="85" spans="1:14" x14ac:dyDescent="0.35">
      <c r="A85" s="2" t="s">
        <v>101</v>
      </c>
      <c r="B85" s="2">
        <v>54</v>
      </c>
      <c r="C85" s="2" t="s">
        <v>15</v>
      </c>
      <c r="D85" s="2">
        <v>130804</v>
      </c>
      <c r="E85" s="2">
        <v>682</v>
      </c>
      <c r="F85" s="2">
        <v>16</v>
      </c>
      <c r="G85" s="2">
        <v>0</v>
      </c>
      <c r="H85" s="2" t="s">
        <v>16</v>
      </c>
      <c r="I85" s="2">
        <f>(B85-Summary!B$105)/(Summary!B$106-Summary!B$105)</f>
        <v>0.84210526315789469</v>
      </c>
      <c r="J85" s="2">
        <f>(D85-Summary!C$105)/(Summary!C$106-Summary!C$105)</f>
        <v>0.69679981021114012</v>
      </c>
      <c r="K85" s="2">
        <f>(E85-Summary!D$105)/(Summary!D$106-Summary!D$105)</f>
        <v>0.48598130841121495</v>
      </c>
      <c r="L85" s="2">
        <f>(F85-Summary!E$105)/(Summary!E$106-Summary!E$105)</f>
        <v>0.8</v>
      </c>
      <c r="M85" s="2">
        <f>(G85-Summary!F$105)/(Summary!F$106-Summary!F$105)</f>
        <v>0</v>
      </c>
      <c r="N85" s="2">
        <f>SQRT((I85-Summary!B$109)^2+(J85-Summary!C$109)^2+(K85-Summary!D$109)^2+(L85-Summary!E$109)^2+(M85-Summary!F$109)^2)</f>
        <v>0.89727504665997004</v>
      </c>
    </row>
    <row r="86" spans="1:14" x14ac:dyDescent="0.35">
      <c r="A86" s="2" t="s">
        <v>102</v>
      </c>
      <c r="B86" s="2">
        <v>46</v>
      </c>
      <c r="C86" s="2" t="s">
        <v>15</v>
      </c>
      <c r="D86" s="2">
        <v>98291</v>
      </c>
      <c r="E86" s="2">
        <v>666</v>
      </c>
      <c r="F86" s="2">
        <v>9</v>
      </c>
      <c r="G86" s="2">
        <v>1</v>
      </c>
      <c r="H86" s="2" t="s">
        <v>16</v>
      </c>
      <c r="I86" s="2">
        <f>(B86-Summary!B$105)/(Summary!B$106-Summary!B$105)</f>
        <v>0.63157894736842102</v>
      </c>
      <c r="J86" s="2">
        <f>(D86-Summary!C$105)/(Summary!C$106-Summary!C$105)</f>
        <v>0.49381937594426201</v>
      </c>
      <c r="K86" s="2">
        <f>(E86-Summary!D$105)/(Summary!D$106-Summary!D$105)</f>
        <v>0.43613707165109034</v>
      </c>
      <c r="L86" s="2">
        <f>(F86-Summary!E$105)/(Summary!E$106-Summary!E$105)</f>
        <v>0.45</v>
      </c>
      <c r="M86" s="2">
        <f>(G86-Summary!F$105)/(Summary!F$106-Summary!F$105)</f>
        <v>0.33333333333333331</v>
      </c>
      <c r="N86" s="2">
        <f>SQRT((I86-Summary!B$109)^2+(J86-Summary!C$109)^2+(K86-Summary!D$109)^2+(L86-Summary!E$109)^2+(M86-Summary!F$109)^2)</f>
        <v>0.47215741001905853</v>
      </c>
    </row>
    <row r="87" spans="1:14" x14ac:dyDescent="0.35">
      <c r="A87" s="2" t="s">
        <v>103</v>
      </c>
      <c r="B87" s="2">
        <v>49</v>
      </c>
      <c r="C87" s="2" t="s">
        <v>15</v>
      </c>
      <c r="D87" s="2">
        <v>90277</v>
      </c>
      <c r="E87" s="2">
        <v>830</v>
      </c>
      <c r="F87" s="2">
        <v>4</v>
      </c>
      <c r="G87" s="2">
        <v>3</v>
      </c>
      <c r="H87" s="2" t="s">
        <v>16</v>
      </c>
      <c r="I87" s="2">
        <f>(B87-Summary!B$105)/(Summary!B$106-Summary!B$105)</f>
        <v>0.71052631578947367</v>
      </c>
      <c r="J87" s="2">
        <f>(D87-Summary!C$105)/(Summary!C$106-Summary!C$105)</f>
        <v>0.44378753636579304</v>
      </c>
      <c r="K87" s="2">
        <f>(E87-Summary!D$105)/(Summary!D$106-Summary!D$105)</f>
        <v>0.9470404984423676</v>
      </c>
      <c r="L87" s="2">
        <f>(F87-Summary!E$105)/(Summary!E$106-Summary!E$105)</f>
        <v>0.2</v>
      </c>
      <c r="M87" s="2">
        <f>(G87-Summary!F$105)/(Summary!F$106-Summary!F$105)</f>
        <v>1</v>
      </c>
      <c r="N87" s="2">
        <f>SQRT((I87-Summary!B$109)^2+(J87-Summary!C$109)^2+(K87-Summary!D$109)^2+(L87-Summary!E$109)^2+(M87-Summary!F$109)^2)</f>
        <v>0.86679519901916724</v>
      </c>
    </row>
    <row r="88" spans="1:14" x14ac:dyDescent="0.35">
      <c r="A88" s="2" t="s">
        <v>104</v>
      </c>
      <c r="B88" s="2">
        <v>24</v>
      </c>
      <c r="C88" s="2" t="s">
        <v>15</v>
      </c>
      <c r="D88" s="2">
        <v>44926</v>
      </c>
      <c r="E88" s="2">
        <v>573</v>
      </c>
      <c r="F88" s="2">
        <v>7</v>
      </c>
      <c r="G88" s="2">
        <v>2</v>
      </c>
      <c r="H88" s="2" t="s">
        <v>23</v>
      </c>
      <c r="I88" s="2">
        <f>(B88-Summary!B$105)/(Summary!B$106-Summary!B$105)</f>
        <v>5.2631578947368418E-2</v>
      </c>
      <c r="J88" s="2">
        <f>(D88-Summary!C$105)/(Summary!C$106-Summary!C$105)</f>
        <v>0.16065876712157726</v>
      </c>
      <c r="K88" s="2">
        <f>(E88-Summary!D$105)/(Summary!D$106-Summary!D$105)</f>
        <v>0.14641744548286603</v>
      </c>
      <c r="L88" s="2">
        <f>(F88-Summary!E$105)/(Summary!E$106-Summary!E$105)</f>
        <v>0.35</v>
      </c>
      <c r="M88" s="2">
        <f>(G88-Summary!F$105)/(Summary!F$106-Summary!F$105)</f>
        <v>0.66666666666666663</v>
      </c>
      <c r="N88" s="2">
        <f>SQRT((I88-Summary!B$109)^2+(J88-Summary!C$109)^2+(K88-Summary!D$109)^2+(L88-Summary!E$109)^2+(M88-Summary!F$109)^2)</f>
        <v>0.68400642693709679</v>
      </c>
    </row>
    <row r="89" spans="1:14" x14ac:dyDescent="0.35">
      <c r="A89" s="2" t="s">
        <v>105</v>
      </c>
      <c r="B89" s="2">
        <v>33</v>
      </c>
      <c r="C89" s="2" t="s">
        <v>18</v>
      </c>
      <c r="D89" s="2">
        <v>79725</v>
      </c>
      <c r="E89" s="2">
        <v>709</v>
      </c>
      <c r="F89" s="2">
        <v>11</v>
      </c>
      <c r="G89" s="2">
        <v>0</v>
      </c>
      <c r="H89" s="2" t="s">
        <v>16</v>
      </c>
      <c r="I89" s="2">
        <f>(B89-Summary!B$105)/(Summary!B$106-Summary!B$105)</f>
        <v>0.28947368421052633</v>
      </c>
      <c r="J89" s="2">
        <f>(D89-Summary!C$105)/(Summary!C$106-Summary!C$105)</f>
        <v>0.37791082420806854</v>
      </c>
      <c r="K89" s="2">
        <f>(E89-Summary!D$105)/(Summary!D$106-Summary!D$105)</f>
        <v>0.57009345794392519</v>
      </c>
      <c r="L89" s="2">
        <f>(F89-Summary!E$105)/(Summary!E$106-Summary!E$105)</f>
        <v>0.55000000000000004</v>
      </c>
      <c r="M89" s="2">
        <f>(G89-Summary!F$105)/(Summary!F$106-Summary!F$105)</f>
        <v>0</v>
      </c>
      <c r="N89" s="2">
        <f>SQRT((I89-Summary!B$109)^2+(J89-Summary!C$109)^2+(K89-Summary!D$109)^2+(L89-Summary!E$109)^2+(M89-Summary!F$109)^2)</f>
        <v>0.40403266953044797</v>
      </c>
    </row>
    <row r="90" spans="1:14" x14ac:dyDescent="0.35">
      <c r="A90" s="2" t="s">
        <v>106</v>
      </c>
      <c r="B90" s="2">
        <v>51</v>
      </c>
      <c r="C90" s="2" t="s">
        <v>18</v>
      </c>
      <c r="D90" s="2">
        <v>56680</v>
      </c>
      <c r="E90" s="2">
        <v>699</v>
      </c>
      <c r="F90" s="2">
        <v>16</v>
      </c>
      <c r="G90" s="2">
        <v>3</v>
      </c>
      <c r="H90" s="2" t="s">
        <v>16</v>
      </c>
      <c r="I90" s="2">
        <f>(B90-Summary!B$105)/(Summary!B$106-Summary!B$105)</f>
        <v>0.76315789473684215</v>
      </c>
      <c r="J90" s="2">
        <f>(D90-Summary!C$105)/(Summary!C$106-Summary!C$105)</f>
        <v>0.23403963091061195</v>
      </c>
      <c r="K90" s="2">
        <f>(E90-Summary!D$105)/(Summary!D$106-Summary!D$105)</f>
        <v>0.5389408099688473</v>
      </c>
      <c r="L90" s="2">
        <f>(F90-Summary!E$105)/(Summary!E$106-Summary!E$105)</f>
        <v>0.8</v>
      </c>
      <c r="M90" s="2">
        <f>(G90-Summary!F$105)/(Summary!F$106-Summary!F$105)</f>
        <v>1</v>
      </c>
      <c r="N90" s="2">
        <f>SQRT((I90-Summary!B$109)^2+(J90-Summary!C$109)^2+(K90-Summary!D$109)^2+(L90-Summary!E$109)^2+(M90-Summary!F$109)^2)</f>
        <v>0.96331193606882759</v>
      </c>
    </row>
    <row r="91" spans="1:14" x14ac:dyDescent="0.35">
      <c r="A91" s="2" t="s">
        <v>107</v>
      </c>
      <c r="B91" s="2">
        <v>54</v>
      </c>
      <c r="C91" s="2" t="s">
        <v>15</v>
      </c>
      <c r="D91" s="2">
        <v>66845</v>
      </c>
      <c r="E91" s="2">
        <v>676</v>
      </c>
      <c r="F91" s="2">
        <v>12</v>
      </c>
      <c r="G91" s="2">
        <v>3</v>
      </c>
      <c r="H91" s="2" t="s">
        <v>23</v>
      </c>
      <c r="I91" s="2">
        <f>(B91-Summary!B$105)/(Summary!B$106-Summary!B$105)</f>
        <v>0.84210526315789469</v>
      </c>
      <c r="J91" s="2">
        <f>(D91-Summary!C$105)/(Summary!C$106-Summary!C$105)</f>
        <v>0.29750028093745706</v>
      </c>
      <c r="K91" s="2">
        <f>(E91-Summary!D$105)/(Summary!D$106-Summary!D$105)</f>
        <v>0.46728971962616822</v>
      </c>
      <c r="L91" s="2">
        <f>(F91-Summary!E$105)/(Summary!E$106-Summary!E$105)</f>
        <v>0.6</v>
      </c>
      <c r="M91" s="2">
        <f>(G91-Summary!F$105)/(Summary!F$106-Summary!F$105)</f>
        <v>1</v>
      </c>
      <c r="N91" s="2">
        <f>SQRT((I91-Summary!B$109)^2+(J91-Summary!C$109)^2+(K91-Summary!D$109)^2+(L91-Summary!E$109)^2+(M91-Summary!F$109)^2)</f>
        <v>0.94180198410675453</v>
      </c>
    </row>
    <row r="92" spans="1:14" x14ac:dyDescent="0.35">
      <c r="A92" s="2" t="s">
        <v>108</v>
      </c>
      <c r="B92" s="2">
        <v>38</v>
      </c>
      <c r="C92" s="2" t="s">
        <v>18</v>
      </c>
      <c r="D92" s="2">
        <v>128760</v>
      </c>
      <c r="E92" s="2">
        <v>787</v>
      </c>
      <c r="F92" s="2">
        <v>19</v>
      </c>
      <c r="G92" s="2">
        <v>3</v>
      </c>
      <c r="H92" s="2" t="s">
        <v>16</v>
      </c>
      <c r="I92" s="2">
        <f>(B92-Summary!B$105)/(Summary!B$106-Summary!B$105)</f>
        <v>0.42105263157894735</v>
      </c>
      <c r="J92" s="2">
        <f>(D92-Summary!C$105)/(Summary!C$106-Summary!C$105)</f>
        <v>0.68403900660515182</v>
      </c>
      <c r="K92" s="2">
        <f>(E92-Summary!D$105)/(Summary!D$106-Summary!D$105)</f>
        <v>0.81308411214953269</v>
      </c>
      <c r="L92" s="2">
        <f>(F92-Summary!E$105)/(Summary!E$106-Summary!E$105)</f>
        <v>0.95</v>
      </c>
      <c r="M92" s="2">
        <f>(G92-Summary!F$105)/(Summary!F$106-Summary!F$105)</f>
        <v>1</v>
      </c>
      <c r="N92" s="2">
        <f>SQRT((I92-Summary!B$109)^2+(J92-Summary!C$109)^2+(K92-Summary!D$109)^2+(L92-Summary!E$109)^2+(M92-Summary!F$109)^2)</f>
        <v>0.98064916698655813</v>
      </c>
    </row>
    <row r="93" spans="1:14" x14ac:dyDescent="0.35">
      <c r="A93" s="2" t="s">
        <v>109</v>
      </c>
      <c r="B93" s="2">
        <v>53</v>
      </c>
      <c r="C93" s="2" t="s">
        <v>15</v>
      </c>
      <c r="D93" s="2">
        <v>120106</v>
      </c>
      <c r="E93" s="2">
        <v>608</v>
      </c>
      <c r="F93" s="2">
        <v>18</v>
      </c>
      <c r="G93" s="2">
        <v>3</v>
      </c>
      <c r="H93" s="2" t="s">
        <v>16</v>
      </c>
      <c r="I93" s="2">
        <f>(B93-Summary!B$105)/(Summary!B$106-Summary!B$105)</f>
        <v>0.81578947368421051</v>
      </c>
      <c r="J93" s="2">
        <f>(D93-Summary!C$105)/(Summary!C$106-Summary!C$105)</f>
        <v>0.63001161208155931</v>
      </c>
      <c r="K93" s="2">
        <f>(E93-Summary!D$105)/(Summary!D$106-Summary!D$105)</f>
        <v>0.2554517133956386</v>
      </c>
      <c r="L93" s="2">
        <f>(F93-Summary!E$105)/(Summary!E$106-Summary!E$105)</f>
        <v>0.9</v>
      </c>
      <c r="M93" s="2">
        <f>(G93-Summary!F$105)/(Summary!F$106-Summary!F$105)</f>
        <v>1</v>
      </c>
      <c r="N93" s="2">
        <f>SQRT((I93-Summary!B$109)^2+(J93-Summary!C$109)^2+(K93-Summary!D$109)^2+(L93-Summary!E$109)^2+(M93-Summary!F$109)^2)</f>
        <v>1.1427619869650685</v>
      </c>
    </row>
    <row r="94" spans="1:14" x14ac:dyDescent="0.35">
      <c r="A94" s="2" t="s">
        <v>110</v>
      </c>
      <c r="B94" s="2">
        <v>54</v>
      </c>
      <c r="C94" s="2" t="s">
        <v>15</v>
      </c>
      <c r="D94" s="2">
        <v>116366</v>
      </c>
      <c r="E94" s="2">
        <v>835</v>
      </c>
      <c r="F94" s="2">
        <v>15</v>
      </c>
      <c r="G94" s="2">
        <v>0</v>
      </c>
      <c r="H94" s="2" t="s">
        <v>16</v>
      </c>
      <c r="I94" s="2">
        <f>(B94-Summary!B$105)/(Summary!B$106-Summary!B$105)</f>
        <v>0.84210526315789469</v>
      </c>
      <c r="J94" s="2">
        <f>(D94-Summary!C$105)/(Summary!C$106-Summary!C$105)</f>
        <v>0.60666258787099347</v>
      </c>
      <c r="K94" s="2">
        <f>(E94-Summary!D$105)/(Summary!D$106-Summary!D$105)</f>
        <v>0.96261682242990654</v>
      </c>
      <c r="L94" s="2">
        <f>(F94-Summary!E$105)/(Summary!E$106-Summary!E$105)</f>
        <v>0.75</v>
      </c>
      <c r="M94" s="2">
        <f>(G94-Summary!F$105)/(Summary!F$106-Summary!F$105)</f>
        <v>0</v>
      </c>
      <c r="N94" s="2">
        <f>SQRT((I94-Summary!B$109)^2+(J94-Summary!C$109)^2+(K94-Summary!D$109)^2+(L94-Summary!E$109)^2+(M94-Summary!F$109)^2)</f>
        <v>0.87001252426203901</v>
      </c>
    </row>
    <row r="95" spans="1:14" x14ac:dyDescent="0.35">
      <c r="A95" s="2" t="s">
        <v>111</v>
      </c>
      <c r="B95" s="2">
        <v>36</v>
      </c>
      <c r="C95" s="2" t="s">
        <v>18</v>
      </c>
      <c r="D95" s="2">
        <v>76614</v>
      </c>
      <c r="E95" s="2">
        <v>629</v>
      </c>
      <c r="F95" s="2">
        <v>12</v>
      </c>
      <c r="G95" s="2">
        <v>3</v>
      </c>
      <c r="H95" s="2" t="s">
        <v>16</v>
      </c>
      <c r="I95" s="2">
        <f>(B95-Summary!B$105)/(Summary!B$106-Summary!B$105)</f>
        <v>0.36842105263157893</v>
      </c>
      <c r="J95" s="2">
        <f>(D95-Summary!C$105)/(Summary!C$106-Summary!C$105)</f>
        <v>0.35848868134200701</v>
      </c>
      <c r="K95" s="2">
        <f>(E95-Summary!D$105)/(Summary!D$106-Summary!D$105)</f>
        <v>0.32087227414330216</v>
      </c>
      <c r="L95" s="2">
        <f>(F95-Summary!E$105)/(Summary!E$106-Summary!E$105)</f>
        <v>0.6</v>
      </c>
      <c r="M95" s="2">
        <f>(G95-Summary!F$105)/(Summary!F$106-Summary!F$105)</f>
        <v>1</v>
      </c>
      <c r="N95" s="2">
        <f>SQRT((I95-Summary!B$109)^2+(J95-Summary!C$109)^2+(K95-Summary!D$109)^2+(L95-Summary!E$109)^2+(M95-Summary!F$109)^2)</f>
        <v>0.80127888669900482</v>
      </c>
    </row>
    <row r="96" spans="1:14" x14ac:dyDescent="0.35">
      <c r="A96" s="2" t="s">
        <v>112</v>
      </c>
      <c r="B96" s="2">
        <v>56</v>
      </c>
      <c r="C96" s="2" t="s">
        <v>18</v>
      </c>
      <c r="D96" s="2">
        <v>173471</v>
      </c>
      <c r="E96" s="2">
        <v>700</v>
      </c>
      <c r="F96" s="2">
        <v>6</v>
      </c>
      <c r="G96" s="2">
        <v>1</v>
      </c>
      <c r="H96" s="2" t="s">
        <v>16</v>
      </c>
      <c r="I96" s="2">
        <f>(B96-Summary!B$105)/(Summary!B$106-Summary!B$105)</f>
        <v>0.89473684210526316</v>
      </c>
      <c r="J96" s="2">
        <f>(D96-Summary!C$105)/(Summary!C$106-Summary!C$105)</f>
        <v>0.96317222090424404</v>
      </c>
      <c r="K96" s="2">
        <f>(E96-Summary!D$105)/(Summary!D$106-Summary!D$105)</f>
        <v>0.54205607476635509</v>
      </c>
      <c r="L96" s="2">
        <f>(F96-Summary!E$105)/(Summary!E$106-Summary!E$105)</f>
        <v>0.3</v>
      </c>
      <c r="M96" s="2">
        <f>(G96-Summary!F$105)/(Summary!F$106-Summary!F$105)</f>
        <v>0.33333333333333331</v>
      </c>
      <c r="N96" s="2">
        <f>SQRT((I96-Summary!B$109)^2+(J96-Summary!C$109)^2+(K96-Summary!D$109)^2+(L96-Summary!E$109)^2+(M96-Summary!F$109)^2)</f>
        <v>0.8924354397002533</v>
      </c>
    </row>
    <row r="97" spans="1:14" x14ac:dyDescent="0.35">
      <c r="A97" s="2" t="s">
        <v>113</v>
      </c>
      <c r="B97" s="2">
        <v>32</v>
      </c>
      <c r="C97" s="2" t="s">
        <v>18</v>
      </c>
      <c r="D97" s="2">
        <v>32199</v>
      </c>
      <c r="E97" s="2">
        <v>692</v>
      </c>
      <c r="F97" s="2">
        <v>8</v>
      </c>
      <c r="G97" s="2">
        <v>3</v>
      </c>
      <c r="H97" s="2" t="s">
        <v>23</v>
      </c>
      <c r="I97" s="2">
        <f>(B97-Summary!B$105)/(Summary!B$106-Summary!B$105)</f>
        <v>0.26315789473684209</v>
      </c>
      <c r="J97" s="2">
        <f>(D97-Summary!C$105)/(Summary!C$106-Summary!C$105)</f>
        <v>8.1203411205034395E-2</v>
      </c>
      <c r="K97" s="2">
        <f>(E97-Summary!D$105)/(Summary!D$106-Summary!D$105)</f>
        <v>0.51713395638629278</v>
      </c>
      <c r="L97" s="2">
        <f>(F97-Summary!E$105)/(Summary!E$106-Summary!E$105)</f>
        <v>0.4</v>
      </c>
      <c r="M97" s="2">
        <f>(G97-Summary!F$105)/(Summary!F$106-Summary!F$105)</f>
        <v>1</v>
      </c>
      <c r="N97" s="2">
        <f>SQRT((I97-Summary!B$109)^2+(J97-Summary!C$109)^2+(K97-Summary!D$109)^2+(L97-Summary!E$109)^2+(M97-Summary!F$109)^2)</f>
        <v>0.73661880938431645</v>
      </c>
    </row>
    <row r="98" spans="1:14" x14ac:dyDescent="0.35">
      <c r="A98" s="2" t="s">
        <v>114</v>
      </c>
      <c r="B98" s="2">
        <v>30</v>
      </c>
      <c r="C98" s="2" t="s">
        <v>15</v>
      </c>
      <c r="D98" s="2">
        <v>73500</v>
      </c>
      <c r="E98" s="2">
        <v>801</v>
      </c>
      <c r="F98" s="2">
        <v>2</v>
      </c>
      <c r="G98" s="2">
        <v>2</v>
      </c>
      <c r="H98" s="2" t="s">
        <v>16</v>
      </c>
      <c r="I98" s="2">
        <f>(B98-Summary!B$105)/(Summary!B$106-Summary!B$105)</f>
        <v>0.21052631578947367</v>
      </c>
      <c r="J98" s="2">
        <f>(D98-Summary!C$105)/(Summary!C$106-Summary!C$105)</f>
        <v>0.33904780931214024</v>
      </c>
      <c r="K98" s="2">
        <f>(E98-Summary!D$105)/(Summary!D$106-Summary!D$105)</f>
        <v>0.85669781931464173</v>
      </c>
      <c r="L98" s="2">
        <f>(F98-Summary!E$105)/(Summary!E$106-Summary!E$105)</f>
        <v>0.1</v>
      </c>
      <c r="M98" s="2">
        <f>(G98-Summary!F$105)/(Summary!F$106-Summary!F$105)</f>
        <v>0.66666666666666663</v>
      </c>
      <c r="N98" s="2">
        <f>SQRT((I98-Summary!B$109)^2+(J98-Summary!C$109)^2+(K98-Summary!D$109)^2+(L98-Summary!E$109)^2+(M98-Summary!F$109)^2)</f>
        <v>0.45853196032825388</v>
      </c>
    </row>
    <row r="99" spans="1:14" x14ac:dyDescent="0.35">
      <c r="A99" s="2" t="s">
        <v>115</v>
      </c>
      <c r="B99" s="2">
        <v>48</v>
      </c>
      <c r="C99" s="2" t="s">
        <v>15</v>
      </c>
      <c r="D99" s="2">
        <v>37117</v>
      </c>
      <c r="E99" s="2">
        <v>665</v>
      </c>
      <c r="F99" s="2">
        <v>7</v>
      </c>
      <c r="G99" s="2">
        <v>3</v>
      </c>
      <c r="H99" s="2" t="s">
        <v>23</v>
      </c>
      <c r="I99" s="2">
        <f>(B99-Summary!B$105)/(Summary!B$106-Summary!B$105)</f>
        <v>0.68421052631578949</v>
      </c>
      <c r="J99" s="2">
        <f>(D99-Summary!C$105)/(Summary!C$106-Summary!C$105)</f>
        <v>0.11190675373646818</v>
      </c>
      <c r="K99" s="2">
        <f>(E99-Summary!D$105)/(Summary!D$106-Summary!D$105)</f>
        <v>0.43302180685358255</v>
      </c>
      <c r="L99" s="2">
        <f>(F99-Summary!E$105)/(Summary!E$106-Summary!E$105)</f>
        <v>0.35</v>
      </c>
      <c r="M99" s="2">
        <f>(G99-Summary!F$105)/(Summary!F$106-Summary!F$105)</f>
        <v>1</v>
      </c>
      <c r="N99" s="2">
        <f>SQRT((I99-Summary!B$109)^2+(J99-Summary!C$109)^2+(K99-Summary!D$109)^2+(L99-Summary!E$109)^2+(M99-Summary!F$109)^2)</f>
        <v>0.85744089126114598</v>
      </c>
    </row>
    <row r="100" spans="1:14" x14ac:dyDescent="0.35">
      <c r="A100" s="2" t="s">
        <v>116</v>
      </c>
      <c r="B100" s="2">
        <v>46</v>
      </c>
      <c r="C100" s="2" t="s">
        <v>15</v>
      </c>
      <c r="D100" s="2">
        <v>72909</v>
      </c>
      <c r="E100" s="2">
        <v>614</v>
      </c>
      <c r="F100" s="2">
        <v>19</v>
      </c>
      <c r="G100" s="2">
        <v>2</v>
      </c>
      <c r="H100" s="2" t="s">
        <v>16</v>
      </c>
      <c r="I100" s="2">
        <f>(B100-Summary!B$105)/(Summary!B$106-Summary!B$105)</f>
        <v>0.63157894736842102</v>
      </c>
      <c r="J100" s="2">
        <f>(D100-Summary!C$105)/(Summary!C$106-Summary!C$105)</f>
        <v>0.33535816404250274</v>
      </c>
      <c r="K100" s="2">
        <f>(E100-Summary!D$105)/(Summary!D$106-Summary!D$105)</f>
        <v>0.27414330218068533</v>
      </c>
      <c r="L100" s="2">
        <f>(F100-Summary!E$105)/(Summary!E$106-Summary!E$105)</f>
        <v>0.95</v>
      </c>
      <c r="M100" s="2">
        <f>(G100-Summary!F$105)/(Summary!F$106-Summary!F$105)</f>
        <v>0.66666666666666663</v>
      </c>
      <c r="N100" s="2">
        <f>SQRT((I100-Summary!B$109)^2+(J100-Summary!C$109)^2+(K100-Summary!D$109)^2+(L100-Summary!E$109)^2+(M100-Summary!F$109)^2)</f>
        <v>0.87522583601325199</v>
      </c>
    </row>
    <row r="101" spans="1:14" x14ac:dyDescent="0.35">
      <c r="A101" s="2" t="s">
        <v>117</v>
      </c>
      <c r="B101" s="2">
        <v>26</v>
      </c>
      <c r="C101" s="2" t="s">
        <v>15</v>
      </c>
      <c r="D101" s="2">
        <v>173828</v>
      </c>
      <c r="E101" s="2">
        <v>527</v>
      </c>
      <c r="F101" s="2">
        <v>8</v>
      </c>
      <c r="G101" s="2">
        <v>2</v>
      </c>
      <c r="H101" s="2" t="s">
        <v>16</v>
      </c>
      <c r="I101" s="2">
        <f>(B101-Summary!B$105)/(Summary!B$106-Summary!B$105)</f>
        <v>0.10526315789473684</v>
      </c>
      <c r="J101" s="2">
        <f>(D101-Summary!C$105)/(Summary!C$106-Summary!C$105)</f>
        <v>0.96540099139707081</v>
      </c>
      <c r="K101" s="2">
        <f>(E101-Summary!D$105)/(Summary!D$106-Summary!D$105)</f>
        <v>3.1152647975077881E-3</v>
      </c>
      <c r="L101" s="2">
        <f>(F101-Summary!E$105)/(Summary!E$106-Summary!E$105)</f>
        <v>0.4</v>
      </c>
      <c r="M101" s="2">
        <f>(G101-Summary!F$105)/(Summary!F$106-Summary!F$105)</f>
        <v>0.66666666666666663</v>
      </c>
      <c r="N101" s="2">
        <f>SQRT((I101-Summary!B$109)^2+(J101-Summary!C$109)^2+(K101-Summary!D$109)^2+(L101-Summary!E$109)^2+(M101-Summary!F$109)^2)</f>
        <v>0.98378078223979326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7" width="24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118</v>
      </c>
      <c r="B2" s="2">
        <v>32</v>
      </c>
      <c r="C2" s="2" t="s">
        <v>15</v>
      </c>
      <c r="D2" s="2">
        <v>75000</v>
      </c>
      <c r="E2" s="2">
        <v>742</v>
      </c>
      <c r="F2" s="2">
        <v>7</v>
      </c>
      <c r="G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6" width="24" customWidth="1"/>
  </cols>
  <sheetData>
    <row r="1" spans="1:6" ht="31" x14ac:dyDescent="0.35">
      <c r="A1" s="1" t="s">
        <v>119</v>
      </c>
      <c r="B1" s="1"/>
      <c r="C1" s="1"/>
      <c r="D1" s="1"/>
      <c r="E1" s="1"/>
      <c r="F1" s="1"/>
    </row>
    <row r="2" spans="1:6" x14ac:dyDescent="0.35">
      <c r="A2" s="2" t="s">
        <v>120</v>
      </c>
      <c r="B2" s="2" t="s">
        <v>121</v>
      </c>
      <c r="C2" s="2"/>
      <c r="D2" s="2"/>
      <c r="E2" s="2"/>
      <c r="F2" s="2"/>
    </row>
    <row r="3" spans="1:6" x14ac:dyDescent="0.35">
      <c r="A3" s="2" t="s">
        <v>122</v>
      </c>
      <c r="B3" s="2">
        <v>5</v>
      </c>
      <c r="C3" s="2"/>
      <c r="D3" s="2"/>
      <c r="E3" s="2"/>
      <c r="F3" s="2"/>
    </row>
    <row r="4" spans="1:6" x14ac:dyDescent="0.35">
      <c r="A4" s="2" t="s">
        <v>123</v>
      </c>
      <c r="B4" s="2" t="s">
        <v>118</v>
      </c>
      <c r="C4" s="2"/>
      <c r="D4" s="2"/>
      <c r="E4" s="2"/>
      <c r="F4" s="2"/>
    </row>
    <row r="5" spans="1:6" ht="18.5" x14ac:dyDescent="0.35">
      <c r="A5" s="2" t="s">
        <v>124</v>
      </c>
      <c r="B5" s="3" t="s">
        <v>16</v>
      </c>
      <c r="C5" s="2"/>
      <c r="D5" s="2"/>
      <c r="E5" s="2"/>
      <c r="F5" s="2"/>
    </row>
    <row r="6" spans="1:6" x14ac:dyDescent="0.35">
      <c r="A6" s="2" t="s">
        <v>125</v>
      </c>
      <c r="B6" s="2">
        <v>5</v>
      </c>
      <c r="C6" s="2"/>
      <c r="D6" s="2"/>
      <c r="E6" s="2"/>
      <c r="F6" s="2"/>
    </row>
    <row r="7" spans="1:6" x14ac:dyDescent="0.35">
      <c r="A7" s="2" t="s">
        <v>126</v>
      </c>
      <c r="B7" s="2">
        <v>0</v>
      </c>
      <c r="C7" s="2"/>
      <c r="D7" s="2"/>
      <c r="E7" s="2"/>
      <c r="F7" s="2"/>
    </row>
    <row r="8" spans="1:6" x14ac:dyDescent="0.35">
      <c r="A8" s="2" t="s">
        <v>127</v>
      </c>
      <c r="B8" s="2" t="s">
        <v>128</v>
      </c>
      <c r="C8" s="2"/>
      <c r="D8" s="2"/>
      <c r="E8" s="2"/>
      <c r="F8" s="2"/>
    </row>
    <row r="9" spans="1:6" x14ac:dyDescent="0.35">
      <c r="A9" s="2"/>
      <c r="B9" s="2"/>
      <c r="C9" s="2"/>
      <c r="D9" s="2"/>
      <c r="E9" s="2"/>
      <c r="F9" s="2"/>
    </row>
    <row r="10" spans="1:6" x14ac:dyDescent="0.35">
      <c r="A10" s="2" t="s">
        <v>129</v>
      </c>
      <c r="B10" s="2" t="s">
        <v>130</v>
      </c>
      <c r="C10" s="2" t="s">
        <v>131</v>
      </c>
      <c r="D10" s="2"/>
      <c r="E10" s="2"/>
      <c r="F10" s="2"/>
    </row>
    <row r="11" spans="1:6" x14ac:dyDescent="0.35">
      <c r="A11" s="2" t="s">
        <v>1</v>
      </c>
      <c r="B11" s="2">
        <v>22</v>
      </c>
      <c r="C11" s="2">
        <v>60</v>
      </c>
      <c r="D11" s="2"/>
      <c r="E11" s="2"/>
      <c r="F11" s="2"/>
    </row>
    <row r="12" spans="1:6" x14ac:dyDescent="0.35">
      <c r="A12" s="2" t="s">
        <v>132</v>
      </c>
      <c r="B12" s="2">
        <v>19192</v>
      </c>
      <c r="C12" s="2">
        <v>179370</v>
      </c>
      <c r="D12" s="2"/>
      <c r="E12" s="2"/>
      <c r="F12" s="2"/>
    </row>
    <row r="13" spans="1:6" x14ac:dyDescent="0.35">
      <c r="A13" s="2" t="s">
        <v>133</v>
      </c>
      <c r="B13" s="2" t="s">
        <v>0</v>
      </c>
      <c r="C13" s="2" t="s">
        <v>7</v>
      </c>
      <c r="D13" s="2" t="s">
        <v>134</v>
      </c>
      <c r="E13" s="2"/>
      <c r="F13" s="2"/>
    </row>
    <row r="14" spans="1:6" x14ac:dyDescent="0.35">
      <c r="A14" s="2">
        <v>1</v>
      </c>
      <c r="B14" s="2" t="s">
        <v>64</v>
      </c>
      <c r="C14" s="2" t="s">
        <v>16</v>
      </c>
      <c r="D14" s="2">
        <v>0.37139140116733382</v>
      </c>
      <c r="E14" s="2"/>
      <c r="F14" s="2"/>
    </row>
    <row r="15" spans="1:6" x14ac:dyDescent="0.35">
      <c r="A15" s="2">
        <v>2</v>
      </c>
      <c r="B15" s="2" t="s">
        <v>61</v>
      </c>
      <c r="C15" s="2" t="s">
        <v>16</v>
      </c>
      <c r="D15" s="2">
        <v>0.37895296102889758</v>
      </c>
      <c r="E15" s="2"/>
      <c r="F15" s="2"/>
    </row>
    <row r="16" spans="1:6" x14ac:dyDescent="0.35">
      <c r="A16" s="2">
        <v>3</v>
      </c>
      <c r="B16" s="2" t="s">
        <v>100</v>
      </c>
      <c r="C16" s="2" t="s">
        <v>16</v>
      </c>
      <c r="D16" s="2">
        <v>0.40008922423929361</v>
      </c>
      <c r="E16" s="2"/>
      <c r="F16" s="2"/>
    </row>
    <row r="17" spans="1:6" x14ac:dyDescent="0.35">
      <c r="A17" s="2">
        <v>4</v>
      </c>
      <c r="B17" s="2" t="s">
        <v>105</v>
      </c>
      <c r="C17" s="2" t="s">
        <v>16</v>
      </c>
      <c r="D17" s="2">
        <v>0.40403266953044797</v>
      </c>
      <c r="E17" s="2"/>
      <c r="F17" s="2"/>
    </row>
    <row r="18" spans="1:6" x14ac:dyDescent="0.35">
      <c r="A18" s="2">
        <v>5</v>
      </c>
      <c r="B18" s="2" t="s">
        <v>51</v>
      </c>
      <c r="C18" s="2" t="s">
        <v>16</v>
      </c>
      <c r="D18" s="2">
        <v>0.44546369511258271</v>
      </c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/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A26" s="2"/>
      <c r="B26" s="2"/>
      <c r="C26" s="2"/>
      <c r="D26" s="2"/>
      <c r="E26" s="2"/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  <row r="29" spans="1:6" x14ac:dyDescent="0.35">
      <c r="A29" s="2"/>
      <c r="B29" s="2"/>
      <c r="C29" s="2"/>
      <c r="D29" s="2"/>
      <c r="E29" s="2"/>
      <c r="F29" s="2"/>
    </row>
    <row r="30" spans="1:6" x14ac:dyDescent="0.35">
      <c r="A30" s="2"/>
      <c r="B30" s="2"/>
      <c r="C30" s="2"/>
      <c r="D30" s="2"/>
      <c r="E30" s="2"/>
      <c r="F30" s="2"/>
    </row>
    <row r="31" spans="1:6" x14ac:dyDescent="0.35">
      <c r="A31" s="2"/>
      <c r="B31" s="2"/>
      <c r="C31" s="2"/>
      <c r="D31" s="2"/>
      <c r="E31" s="2"/>
      <c r="F31" s="2"/>
    </row>
    <row r="32" spans="1:6" x14ac:dyDescent="0.35">
      <c r="A32" s="2"/>
      <c r="B32" s="2"/>
      <c r="C32" s="2"/>
      <c r="D32" s="2"/>
      <c r="E32" s="2"/>
      <c r="F32" s="2"/>
    </row>
    <row r="33" spans="1:6" x14ac:dyDescent="0.35">
      <c r="A33" s="2"/>
      <c r="B33" s="2"/>
      <c r="C33" s="2"/>
      <c r="D33" s="2"/>
      <c r="E33" s="2"/>
      <c r="F33" s="2"/>
    </row>
    <row r="34" spans="1:6" x14ac:dyDescent="0.35">
      <c r="A34" s="2"/>
      <c r="B34" s="2"/>
      <c r="C34" s="2"/>
      <c r="D34" s="2"/>
      <c r="E34" s="2"/>
      <c r="F34" s="2"/>
    </row>
    <row r="35" spans="1:6" x14ac:dyDescent="0.35">
      <c r="A35" s="2"/>
      <c r="B35" s="2"/>
      <c r="C35" s="2"/>
      <c r="D35" s="2"/>
      <c r="E35" s="2"/>
      <c r="F35" s="2"/>
    </row>
    <row r="36" spans="1:6" x14ac:dyDescent="0.35">
      <c r="A36" s="2"/>
      <c r="B36" s="2"/>
      <c r="C36" s="2"/>
      <c r="D36" s="2"/>
      <c r="E36" s="2"/>
      <c r="F36" s="2"/>
    </row>
    <row r="37" spans="1:6" x14ac:dyDescent="0.35">
      <c r="A37" s="2"/>
      <c r="B37" s="2"/>
      <c r="C37" s="2"/>
      <c r="D37" s="2"/>
      <c r="E37" s="2"/>
      <c r="F37" s="2"/>
    </row>
    <row r="38" spans="1:6" x14ac:dyDescent="0.35">
      <c r="A38" s="2"/>
      <c r="B38" s="2"/>
      <c r="C38" s="2"/>
      <c r="D38" s="2"/>
      <c r="E38" s="2"/>
      <c r="F38" s="2"/>
    </row>
    <row r="39" spans="1:6" x14ac:dyDescent="0.35">
      <c r="A39" s="2"/>
      <c r="B39" s="2"/>
      <c r="C39" s="2"/>
      <c r="D39" s="2"/>
      <c r="E39" s="2"/>
      <c r="F39" s="2"/>
    </row>
    <row r="40" spans="1:6" x14ac:dyDescent="0.35">
      <c r="A40" s="2"/>
      <c r="B40" s="2"/>
      <c r="C40" s="2"/>
      <c r="D40" s="2"/>
      <c r="E40" s="2"/>
      <c r="F40" s="2"/>
    </row>
    <row r="41" spans="1:6" x14ac:dyDescent="0.35">
      <c r="A41" s="2"/>
      <c r="B41" s="2"/>
      <c r="C41" s="2"/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  <row r="47" spans="1:6" x14ac:dyDescent="0.35">
      <c r="A47" s="2"/>
      <c r="B47" s="2"/>
      <c r="C47" s="2"/>
      <c r="D47" s="2"/>
      <c r="E47" s="2"/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/>
      <c r="B51" s="2"/>
      <c r="C51" s="2"/>
      <c r="D51" s="2"/>
      <c r="E51" s="2"/>
      <c r="F51" s="2"/>
    </row>
    <row r="52" spans="1:6" x14ac:dyDescent="0.35">
      <c r="A52" s="2"/>
      <c r="B52" s="2"/>
      <c r="C52" s="2"/>
      <c r="D52" s="2"/>
      <c r="E52" s="2"/>
      <c r="F52" s="2"/>
    </row>
    <row r="53" spans="1:6" x14ac:dyDescent="0.35">
      <c r="A53" s="2"/>
      <c r="B53" s="2"/>
      <c r="C53" s="2"/>
      <c r="D53" s="2"/>
      <c r="E53" s="2"/>
      <c r="F53" s="2"/>
    </row>
    <row r="54" spans="1:6" x14ac:dyDescent="0.35">
      <c r="A54" s="2"/>
      <c r="B54" s="2"/>
      <c r="C54" s="2"/>
      <c r="D54" s="2"/>
      <c r="E54" s="2"/>
      <c r="F54" s="2"/>
    </row>
    <row r="55" spans="1:6" x14ac:dyDescent="0.35">
      <c r="A55" s="2"/>
      <c r="B55" s="2"/>
      <c r="C55" s="2"/>
      <c r="D55" s="2"/>
      <c r="E55" s="2"/>
      <c r="F55" s="2"/>
    </row>
    <row r="56" spans="1:6" x14ac:dyDescent="0.35">
      <c r="A56" s="2"/>
      <c r="B56" s="2"/>
      <c r="C56" s="2"/>
      <c r="D56" s="2"/>
      <c r="E56" s="2"/>
      <c r="F56" s="2"/>
    </row>
    <row r="57" spans="1:6" x14ac:dyDescent="0.35">
      <c r="A57" s="2"/>
      <c r="B57" s="2"/>
      <c r="C57" s="2"/>
      <c r="D57" s="2"/>
      <c r="E57" s="2"/>
      <c r="F57" s="2"/>
    </row>
    <row r="58" spans="1:6" x14ac:dyDescent="0.35">
      <c r="A58" s="2"/>
      <c r="B58" s="2"/>
      <c r="C58" s="2"/>
      <c r="D58" s="2"/>
      <c r="E58" s="2"/>
      <c r="F58" s="2"/>
    </row>
    <row r="59" spans="1:6" x14ac:dyDescent="0.35">
      <c r="A59" s="2"/>
      <c r="B59" s="2"/>
      <c r="C59" s="2"/>
      <c r="D59" s="2"/>
      <c r="E59" s="2"/>
      <c r="F59" s="2"/>
    </row>
    <row r="60" spans="1:6" x14ac:dyDescent="0.35">
      <c r="A60" s="2"/>
      <c r="B60" s="2"/>
      <c r="C60" s="2"/>
      <c r="D60" s="2"/>
      <c r="E60" s="2"/>
      <c r="F60" s="2"/>
    </row>
    <row r="61" spans="1:6" x14ac:dyDescent="0.35">
      <c r="A61" s="2"/>
      <c r="B61" s="2"/>
      <c r="C61" s="2"/>
      <c r="D61" s="2"/>
      <c r="E61" s="2"/>
      <c r="F61" s="2"/>
    </row>
    <row r="62" spans="1:6" x14ac:dyDescent="0.35">
      <c r="A62" s="2"/>
      <c r="B62" s="2"/>
      <c r="C62" s="2"/>
      <c r="D62" s="2"/>
      <c r="E62" s="2"/>
      <c r="F62" s="2"/>
    </row>
    <row r="63" spans="1:6" x14ac:dyDescent="0.35">
      <c r="A63" s="2"/>
      <c r="B63" s="2"/>
      <c r="C63" s="2"/>
      <c r="D63" s="2"/>
      <c r="E63" s="2"/>
      <c r="F63" s="2"/>
    </row>
    <row r="64" spans="1:6" x14ac:dyDescent="0.35">
      <c r="A64" s="2"/>
      <c r="B64" s="2"/>
      <c r="C64" s="2"/>
      <c r="D64" s="2"/>
      <c r="E64" s="2"/>
      <c r="F64" s="2"/>
    </row>
    <row r="65" spans="1:6" x14ac:dyDescent="0.35">
      <c r="A65" s="2"/>
      <c r="B65" s="2"/>
      <c r="C65" s="2"/>
      <c r="D65" s="2"/>
      <c r="E65" s="2"/>
      <c r="F65" s="2"/>
    </row>
    <row r="66" spans="1:6" x14ac:dyDescent="0.35">
      <c r="A66" s="2"/>
      <c r="B66" s="2"/>
      <c r="C66" s="2"/>
      <c r="D66" s="2"/>
      <c r="E66" s="2"/>
      <c r="F66" s="2"/>
    </row>
    <row r="67" spans="1:6" x14ac:dyDescent="0.35">
      <c r="A67" s="2"/>
      <c r="B67" s="2"/>
      <c r="C67" s="2"/>
      <c r="D67" s="2"/>
      <c r="E67" s="2"/>
      <c r="F67" s="2"/>
    </row>
    <row r="68" spans="1:6" x14ac:dyDescent="0.35">
      <c r="A68" s="2"/>
      <c r="B68" s="2"/>
      <c r="C68" s="2"/>
      <c r="D68" s="2"/>
      <c r="E68" s="2"/>
      <c r="F68" s="2"/>
    </row>
    <row r="69" spans="1:6" x14ac:dyDescent="0.35">
      <c r="A69" s="2"/>
      <c r="B69" s="2"/>
      <c r="C69" s="2"/>
      <c r="D69" s="2"/>
      <c r="E69" s="2"/>
      <c r="F69" s="2"/>
    </row>
    <row r="70" spans="1:6" x14ac:dyDescent="0.35">
      <c r="A70" s="2"/>
      <c r="B70" s="2"/>
      <c r="C70" s="2"/>
      <c r="D70" s="2"/>
      <c r="E70" s="2"/>
      <c r="F70" s="2"/>
    </row>
    <row r="71" spans="1:6" x14ac:dyDescent="0.35">
      <c r="A71" s="2"/>
      <c r="B71" s="2"/>
      <c r="C71" s="2"/>
      <c r="D71" s="2"/>
      <c r="E71" s="2"/>
      <c r="F71" s="2"/>
    </row>
    <row r="72" spans="1:6" x14ac:dyDescent="0.35">
      <c r="A72" s="2"/>
      <c r="B72" s="2"/>
      <c r="C72" s="2"/>
      <c r="D72" s="2"/>
      <c r="E72" s="2"/>
      <c r="F72" s="2"/>
    </row>
    <row r="73" spans="1:6" x14ac:dyDescent="0.35">
      <c r="A73" s="2"/>
      <c r="B73" s="2"/>
      <c r="C73" s="2"/>
      <c r="D73" s="2"/>
      <c r="E73" s="2"/>
      <c r="F73" s="2"/>
    </row>
    <row r="74" spans="1:6" x14ac:dyDescent="0.35">
      <c r="A74" s="2"/>
      <c r="B74" s="2"/>
      <c r="C74" s="2"/>
      <c r="D74" s="2"/>
      <c r="E74" s="2"/>
      <c r="F74" s="2"/>
    </row>
    <row r="75" spans="1:6" x14ac:dyDescent="0.35">
      <c r="A75" s="2"/>
      <c r="B75" s="2"/>
      <c r="C75" s="2"/>
      <c r="D75" s="2"/>
      <c r="E75" s="2"/>
      <c r="F75" s="2"/>
    </row>
    <row r="76" spans="1:6" x14ac:dyDescent="0.35">
      <c r="A76" s="2"/>
      <c r="B76" s="2"/>
      <c r="C76" s="2"/>
      <c r="D76" s="2"/>
      <c r="E76" s="2"/>
      <c r="F76" s="2"/>
    </row>
    <row r="77" spans="1:6" x14ac:dyDescent="0.35">
      <c r="A77" s="2"/>
      <c r="B77" s="2"/>
      <c r="C77" s="2"/>
      <c r="D77" s="2"/>
      <c r="E77" s="2"/>
      <c r="F77" s="2"/>
    </row>
    <row r="78" spans="1:6" x14ac:dyDescent="0.35">
      <c r="A78" s="2"/>
      <c r="B78" s="2"/>
      <c r="C78" s="2"/>
      <c r="D78" s="2"/>
      <c r="E78" s="2"/>
      <c r="F78" s="2"/>
    </row>
    <row r="79" spans="1:6" x14ac:dyDescent="0.35">
      <c r="A79" s="2"/>
      <c r="B79" s="2"/>
      <c r="C79" s="2"/>
      <c r="D79" s="2"/>
      <c r="E79" s="2"/>
      <c r="F79" s="2"/>
    </row>
    <row r="80" spans="1:6" x14ac:dyDescent="0.35">
      <c r="A80" s="2"/>
      <c r="B80" s="2"/>
      <c r="C80" s="2"/>
      <c r="D80" s="2"/>
      <c r="E80" s="2"/>
      <c r="F80" s="2"/>
    </row>
    <row r="81" spans="1:6" x14ac:dyDescent="0.35">
      <c r="A81" s="2"/>
      <c r="B81" s="2"/>
      <c r="C81" s="2"/>
      <c r="D81" s="2"/>
      <c r="E81" s="2"/>
      <c r="F81" s="2"/>
    </row>
    <row r="82" spans="1:6" x14ac:dyDescent="0.35">
      <c r="A82" s="2"/>
      <c r="B82" s="2"/>
      <c r="C82" s="2"/>
      <c r="D82" s="2"/>
      <c r="E82" s="2"/>
      <c r="F82" s="2"/>
    </row>
    <row r="83" spans="1:6" x14ac:dyDescent="0.35">
      <c r="A83" s="2"/>
      <c r="B83" s="2"/>
      <c r="C83" s="2"/>
      <c r="D83" s="2"/>
      <c r="E83" s="2"/>
      <c r="F83" s="2"/>
    </row>
    <row r="84" spans="1:6" x14ac:dyDescent="0.35">
      <c r="A84" s="2"/>
      <c r="B84" s="2"/>
      <c r="C84" s="2"/>
      <c r="D84" s="2"/>
      <c r="E84" s="2"/>
      <c r="F84" s="2"/>
    </row>
    <row r="85" spans="1:6" x14ac:dyDescent="0.35">
      <c r="A85" s="2"/>
      <c r="B85" s="2"/>
      <c r="C85" s="2"/>
      <c r="D85" s="2"/>
      <c r="E85" s="2"/>
      <c r="F85" s="2"/>
    </row>
    <row r="86" spans="1:6" x14ac:dyDescent="0.35">
      <c r="A86" s="2"/>
      <c r="B86" s="2"/>
      <c r="C86" s="2"/>
      <c r="D86" s="2"/>
      <c r="E86" s="2"/>
      <c r="F86" s="2"/>
    </row>
    <row r="87" spans="1:6" x14ac:dyDescent="0.35">
      <c r="A87" s="2"/>
      <c r="B87" s="2"/>
      <c r="C87" s="2"/>
      <c r="D87" s="2"/>
      <c r="E87" s="2"/>
      <c r="F87" s="2"/>
    </row>
    <row r="88" spans="1:6" x14ac:dyDescent="0.35">
      <c r="A88" s="2"/>
      <c r="B88" s="2"/>
      <c r="C88" s="2"/>
      <c r="D88" s="2"/>
      <c r="E88" s="2"/>
      <c r="F88" s="2"/>
    </row>
    <row r="89" spans="1:6" x14ac:dyDescent="0.35">
      <c r="A89" s="2"/>
      <c r="B89" s="2"/>
      <c r="C89" s="2"/>
      <c r="D89" s="2"/>
      <c r="E89" s="2"/>
      <c r="F89" s="2"/>
    </row>
    <row r="90" spans="1:6" x14ac:dyDescent="0.35">
      <c r="A90" s="2"/>
      <c r="B90" s="2"/>
      <c r="C90" s="2"/>
      <c r="D90" s="2"/>
      <c r="E90" s="2"/>
      <c r="F90" s="2"/>
    </row>
    <row r="91" spans="1:6" x14ac:dyDescent="0.35">
      <c r="A91" s="2"/>
      <c r="B91" s="2"/>
      <c r="C91" s="2"/>
      <c r="D91" s="2"/>
      <c r="E91" s="2"/>
      <c r="F91" s="2"/>
    </row>
    <row r="92" spans="1:6" x14ac:dyDescent="0.35">
      <c r="A92" s="2"/>
      <c r="B92" s="2"/>
      <c r="C92" s="2"/>
      <c r="D92" s="2"/>
      <c r="E92" s="2"/>
      <c r="F92" s="2"/>
    </row>
    <row r="93" spans="1:6" x14ac:dyDescent="0.35">
      <c r="A93" s="2"/>
      <c r="B93" s="2"/>
      <c r="C93" s="2"/>
      <c r="D93" s="2"/>
      <c r="E93" s="2"/>
      <c r="F93" s="2"/>
    </row>
    <row r="94" spans="1:6" x14ac:dyDescent="0.35">
      <c r="A94" s="2"/>
      <c r="B94" s="2"/>
      <c r="C94" s="2"/>
      <c r="D94" s="2"/>
      <c r="E94" s="2"/>
      <c r="F94" s="2"/>
    </row>
    <row r="95" spans="1:6" x14ac:dyDescent="0.35">
      <c r="A95" s="2"/>
      <c r="B95" s="2"/>
      <c r="C95" s="2"/>
      <c r="D95" s="2"/>
      <c r="E95" s="2"/>
      <c r="F95" s="2"/>
    </row>
    <row r="96" spans="1:6" x14ac:dyDescent="0.35">
      <c r="A96" s="2"/>
      <c r="B96" s="2"/>
      <c r="C96" s="2"/>
      <c r="D96" s="2"/>
      <c r="E96" s="2"/>
      <c r="F96" s="2"/>
    </row>
    <row r="97" spans="1:6" x14ac:dyDescent="0.35">
      <c r="A97" s="2"/>
      <c r="B97" s="2"/>
      <c r="C97" s="2"/>
      <c r="D97" s="2"/>
      <c r="E97" s="2"/>
      <c r="F97" s="2"/>
    </row>
    <row r="98" spans="1:6" x14ac:dyDescent="0.35">
      <c r="A98" s="2"/>
      <c r="B98" s="2"/>
      <c r="C98" s="2"/>
      <c r="D98" s="2"/>
      <c r="E98" s="2"/>
      <c r="F98" s="2"/>
    </row>
    <row r="99" spans="1:6" x14ac:dyDescent="0.35">
      <c r="A99" s="2"/>
      <c r="B99" s="2"/>
      <c r="C99" s="2"/>
      <c r="D99" s="2"/>
      <c r="E99" s="2"/>
      <c r="F99" s="2"/>
    </row>
    <row r="100" spans="1:6" x14ac:dyDescent="0.35">
      <c r="A100" s="2"/>
      <c r="B100" s="2"/>
      <c r="C100" s="2"/>
      <c r="D100" s="2"/>
      <c r="E100" s="2"/>
      <c r="F100" s="2"/>
    </row>
    <row r="101" spans="1:6" x14ac:dyDescent="0.35">
      <c r="A101" s="2"/>
      <c r="B101" s="2"/>
      <c r="C101" s="2"/>
      <c r="D101" s="2"/>
      <c r="E101" s="2"/>
      <c r="F101" s="2"/>
    </row>
    <row r="102" spans="1:6" x14ac:dyDescent="0.35">
      <c r="A102" s="2"/>
      <c r="B102" s="2"/>
      <c r="C102" s="2"/>
      <c r="D102" s="2"/>
      <c r="E102" s="2"/>
      <c r="F102" s="2"/>
    </row>
    <row r="103" spans="1:6" x14ac:dyDescent="0.35">
      <c r="A103" s="2" t="s">
        <v>135</v>
      </c>
      <c r="B103" s="2"/>
      <c r="C103" s="2"/>
      <c r="D103" s="2"/>
      <c r="E103" s="2"/>
      <c r="F103" s="2"/>
    </row>
    <row r="104" spans="1:6" x14ac:dyDescent="0.35">
      <c r="A104" s="2" t="s">
        <v>129</v>
      </c>
      <c r="B104" s="2" t="s">
        <v>1</v>
      </c>
      <c r="C104" s="2" t="s">
        <v>3</v>
      </c>
      <c r="D104" s="2" t="s">
        <v>4</v>
      </c>
      <c r="E104" s="2" t="s">
        <v>5</v>
      </c>
      <c r="F104" s="2" t="s">
        <v>6</v>
      </c>
    </row>
    <row r="105" spans="1:6" x14ac:dyDescent="0.35">
      <c r="A105" s="2" t="s">
        <v>130</v>
      </c>
      <c r="B105" s="2">
        <v>22</v>
      </c>
      <c r="C105" s="2">
        <v>19192</v>
      </c>
      <c r="D105" s="2">
        <v>526</v>
      </c>
      <c r="E105" s="2">
        <v>0</v>
      </c>
      <c r="F105" s="2">
        <v>0</v>
      </c>
    </row>
    <row r="106" spans="1:6" x14ac:dyDescent="0.35">
      <c r="A106" s="2" t="s">
        <v>131</v>
      </c>
      <c r="B106" s="2">
        <v>60</v>
      </c>
      <c r="C106" s="2">
        <v>179370</v>
      </c>
      <c r="D106" s="2">
        <v>847</v>
      </c>
      <c r="E106" s="2">
        <v>20</v>
      </c>
      <c r="F106" s="2">
        <v>3</v>
      </c>
    </row>
    <row r="107" spans="1:6" x14ac:dyDescent="0.35">
      <c r="A107" s="2"/>
      <c r="B107" s="2"/>
      <c r="C107" s="2"/>
      <c r="D107" s="2"/>
      <c r="E107" s="2"/>
      <c r="F107" s="2"/>
    </row>
    <row r="108" spans="1:6" x14ac:dyDescent="0.35">
      <c r="A108" s="2" t="s">
        <v>136</v>
      </c>
      <c r="B108" s="2"/>
      <c r="C108" s="2"/>
      <c r="D108" s="2"/>
      <c r="E108" s="2"/>
      <c r="F108" s="2"/>
    </row>
    <row r="109" spans="1:6" x14ac:dyDescent="0.35">
      <c r="A109" s="2" t="s">
        <v>137</v>
      </c>
      <c r="B109" s="2">
        <v>0.26315789473684209</v>
      </c>
      <c r="C109" s="2">
        <v>0.34841239121477358</v>
      </c>
      <c r="D109" s="2">
        <v>0.67289719626168221</v>
      </c>
      <c r="E109" s="2">
        <v>0.35</v>
      </c>
      <c r="F109" s="2">
        <v>0.33333333333333331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24" customWidth="1"/>
    <col min="2" max="2" width="56.6328125" customWidth="1"/>
  </cols>
  <sheetData>
    <row r="1" spans="1:2" ht="77.5" x14ac:dyDescent="0.35">
      <c r="A1" s="1" t="s">
        <v>138</v>
      </c>
      <c r="B1" s="1" t="s">
        <v>139</v>
      </c>
    </row>
    <row r="2" spans="1:2" ht="87" x14ac:dyDescent="0.35">
      <c r="A2" s="2" t="s">
        <v>140</v>
      </c>
      <c r="B2" s="2" t="s">
        <v>141</v>
      </c>
    </row>
    <row r="3" spans="1:2" ht="43.5" x14ac:dyDescent="0.35">
      <c r="A3" s="2" t="s">
        <v>142</v>
      </c>
      <c r="B3" s="2" t="s">
        <v>143</v>
      </c>
    </row>
    <row r="4" spans="1:2" ht="58" x14ac:dyDescent="0.35">
      <c r="A4" s="2" t="s">
        <v>144</v>
      </c>
      <c r="B4" s="2" t="s">
        <v>145</v>
      </c>
    </row>
    <row r="5" spans="1:2" ht="58" x14ac:dyDescent="0.35">
      <c r="A5" s="2" t="s">
        <v>146</v>
      </c>
      <c r="B5" s="2" t="s">
        <v>147</v>
      </c>
    </row>
    <row r="6" spans="1:2" ht="87" x14ac:dyDescent="0.35">
      <c r="A6" s="2" t="s">
        <v>148</v>
      </c>
      <c r="B6" s="2" t="s">
        <v>149</v>
      </c>
    </row>
    <row r="7" spans="1:2" ht="87" x14ac:dyDescent="0.35">
      <c r="A7" s="2" t="s">
        <v>150</v>
      </c>
      <c r="B7" s="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Historical_Data</vt:lpstr>
      <vt:lpstr>New_Customer</vt:lpstr>
      <vt:lpstr>Summary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Anand_IIFT Delhi ‎</cp:lastModifiedBy>
  <dcterms:created xsi:type="dcterms:W3CDTF">2026-10-08T02:10:00Z</dcterms:created>
  <dcterms:modified xsi:type="dcterms:W3CDTF">2026-10-08T02:18:54Z</dcterms:modified>
</cp:coreProperties>
</file>